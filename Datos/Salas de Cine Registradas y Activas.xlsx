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mcultura-my.sharepoint.com/personal/sirec_mincultura_gov_co/Documents/SIREC - INFORMACION PUBLICA/AGENTES E INFRAESTRUCTURA/"/>
    </mc:Choice>
  </mc:AlternateContent>
  <xr:revisionPtr revIDLastSave="560" documentId="13_ncr:1_{D56ED045-CABD-43DC-9F45-91586C285FA0}" xr6:coauthVersionLast="47" xr6:coauthVersionMax="47" xr10:uidLastSave="{32D1BCF6-985F-4D2F-A1E3-F91917B87F95}"/>
  <bookViews>
    <workbookView xWindow="-120" yWindow="-120" windowWidth="29040" windowHeight="15720" xr2:uid="{097EAF62-B62B-413B-B90F-0545D82AA5B9}"/>
  </bookViews>
  <sheets>
    <sheet name="Base Datos" sheetId="4" r:id="rId1"/>
    <sheet name="Por Exhibidor" sheetId="6" r:id="rId2"/>
    <sheet name="Por Ubicación" sheetId="3" r:id="rId3"/>
    <sheet name="AdmisionesXmunicipio" sheetId="5" r:id="rId4"/>
  </sheets>
  <definedNames>
    <definedName name="_xlnm._FilterDatabase" localSheetId="3" hidden="1">AdmisionesXmunicipio!#REF!</definedName>
    <definedName name="_xlnm._FilterDatabase" localSheetId="0" hidden="1">'Base Datos'!$A$2:$H$271</definedName>
    <definedName name="SegmentaciónDeDatos_Complejo_Departamento">#N/A</definedName>
    <definedName name="SegmentaciónDeDatos_Complejo_Municipio">#N/A</definedName>
    <definedName name="SegmentaciónDeDatos_Exhibidor_Nombre_Comercial">#N/A</definedName>
  </definedNames>
  <calcPr calcId="191028"/>
  <pivotCaches>
    <pivotCache cacheId="273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2" i="4" l="1"/>
  <c r="H272" i="4"/>
  <c r="A6" i="5" l="1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5" i="5"/>
</calcChain>
</file>

<file path=xl/sharedStrings.xml><?xml version="1.0" encoding="utf-8"?>
<sst xmlns="http://schemas.openxmlformats.org/spreadsheetml/2006/main" count="3313" uniqueCount="807">
  <si>
    <r>
      <rPr>
        <b/>
        <sz val="10"/>
        <color rgb="FF7030A0"/>
        <rFont val="Calibri"/>
        <family val="2"/>
      </rPr>
      <t>Fuente:</t>
    </r>
    <r>
      <rPr>
        <b/>
        <sz val="10"/>
        <color theme="8" tint="-0.249977111117893"/>
        <rFont val="Calibri"/>
        <family val="2"/>
      </rPr>
      <t xml:space="preserve"> SIREC 
</t>
    </r>
    <r>
      <rPr>
        <b/>
        <sz val="10"/>
        <color rgb="FF7030A0"/>
        <rFont val="Calibri"/>
        <family val="2"/>
      </rPr>
      <t>Frecuencia de actualización:</t>
    </r>
    <r>
      <rPr>
        <b/>
        <sz val="10"/>
        <color theme="8" tint="-0.249977111117893"/>
        <rFont val="Calibri"/>
        <family val="2"/>
      </rPr>
      <t xml:space="preserve"> mensual</t>
    </r>
  </si>
  <si>
    <t>EXHIBIDOR</t>
  </si>
  <si>
    <t>Exhibidor Nombre Comercial</t>
  </si>
  <si>
    <t>Complejo Nombre</t>
  </si>
  <si>
    <t>Complejo Departamento</t>
  </si>
  <si>
    <t>Complejo Municipio</t>
  </si>
  <si>
    <t>Complejo Dirección</t>
  </si>
  <si>
    <t>No Salas</t>
  </si>
  <si>
    <t>Capacidad Esp</t>
  </si>
  <si>
    <t>Fecha Descarga 01/06/2026</t>
  </si>
  <si>
    <t xml:space="preserve">CINE COLOMBIA </t>
  </si>
  <si>
    <t>Cine Colombia</t>
  </si>
  <si>
    <t>Multiplex Chipichape</t>
  </si>
  <si>
    <t>VALLE DEL CAUCA</t>
  </si>
  <si>
    <t>CALI</t>
  </si>
  <si>
    <t>Av 6 #37 Norte-25 LC 308</t>
  </si>
  <si>
    <t>Multiplex Unicali</t>
  </si>
  <si>
    <t>CR 100 # 5 - 169 L 190</t>
  </si>
  <si>
    <t xml:space="preserve">Multiplex Cosmocentro </t>
  </si>
  <si>
    <t xml:space="preserve">CL 5 # 50 - 103 </t>
  </si>
  <si>
    <t xml:space="preserve">Multiplex Palmetto </t>
  </si>
  <si>
    <t xml:space="preserve">CR 49 # 9 - 50  LC 200 </t>
  </si>
  <si>
    <t>Multiplex Rio Cauca</t>
  </si>
  <si>
    <t>CL 75A #20-81 PI 2 ZN 2</t>
  </si>
  <si>
    <t xml:space="preserve">CORPORACIÓN MUSEO LA TERTULIA </t>
  </si>
  <si>
    <t>Cinemateca La Tertulia</t>
  </si>
  <si>
    <t>Av Colombia #5 - 105 Este</t>
  </si>
  <si>
    <t xml:space="preserve">FUNDACIÓN CULTURAL Y TURÍSTICA DE COLOMBIA </t>
  </si>
  <si>
    <t>Cinema Local</t>
  </si>
  <si>
    <t>Cinema Local - Santa Isabel</t>
  </si>
  <si>
    <t>CL 4B #38A-66. BRR San Fernando</t>
  </si>
  <si>
    <t xml:space="preserve">ROYAL FILMS </t>
  </si>
  <si>
    <t>Royal Films</t>
  </si>
  <si>
    <t>Multicine La Herradura</t>
  </si>
  <si>
    <t>TULUÁ</t>
  </si>
  <si>
    <t>CR 19 # 28 - 76</t>
  </si>
  <si>
    <t>Multicine Nuestro Cartago</t>
  </si>
  <si>
    <t>CARTAGO</t>
  </si>
  <si>
    <t>CL 34 # 2 - 45</t>
  </si>
  <si>
    <t>Multicine Unico Yumbo</t>
  </si>
  <si>
    <t>YUMBO</t>
  </si>
  <si>
    <t>CL 15 # 5 - 30</t>
  </si>
  <si>
    <t>Multicine Jardin Plaza Cali</t>
  </si>
  <si>
    <t>CR 98 #16 - 200 CC Jardin Plaza</t>
  </si>
  <si>
    <t>Multicine Simon Bolivar</t>
  </si>
  <si>
    <t>CL 70 #28 D - 20</t>
  </si>
  <si>
    <t>Multicine La 14</t>
  </si>
  <si>
    <t xml:space="preserve">CR 40 #37 - 51 </t>
  </si>
  <si>
    <t>Multicine Buga Plaza</t>
  </si>
  <si>
    <t>GUADALAJARA DE BUGA</t>
  </si>
  <si>
    <t>CL 4 #23 - 86</t>
  </si>
  <si>
    <t>Multicine Buenaventura</t>
  </si>
  <si>
    <t>BUENAVENTURA</t>
  </si>
  <si>
    <t>CL 2 # 66 - 86 LC 209</t>
  </si>
  <si>
    <t>Multicine Unico Cali</t>
  </si>
  <si>
    <t>CL 52 #3 - 29</t>
  </si>
  <si>
    <t xml:space="preserve">CINEMARK COLOMBIA </t>
  </si>
  <si>
    <t>Cinemark</t>
  </si>
  <si>
    <t>Cinemark Mallplaza</t>
  </si>
  <si>
    <t>CL 5 #52 - 140 LC 442 CC Mallplaza</t>
  </si>
  <si>
    <t>Cinemark Pacific Mall</t>
  </si>
  <si>
    <t>CL 36 NORTE #6A - 65 LC 500 CC Pacific Mall</t>
  </si>
  <si>
    <t>Cinemark Unicentro Palmira</t>
  </si>
  <si>
    <t>PALMIRA</t>
  </si>
  <si>
    <t>CL 42 # 38 - 68 LC 2-32 CC Unicentro</t>
  </si>
  <si>
    <t>Cinemark Llanogrande</t>
  </si>
  <si>
    <t>CL 31 #44 - 239 LC 400 CC Llanogrande</t>
  </si>
  <si>
    <t xml:space="preserve">G &amp; G GOLDEN INVESTMENT </t>
  </si>
  <si>
    <t>Izi Movie</t>
  </si>
  <si>
    <t>CR 80 #13A-261 CC Aquarela</t>
  </si>
  <si>
    <t xml:space="preserve">OPERADORA COLOMBIANA DE CINES </t>
  </si>
  <si>
    <t>Cinepolis</t>
  </si>
  <si>
    <t>Cinepolis El Limonar</t>
  </si>
  <si>
    <t>CL 5  #69-03 LC 304</t>
  </si>
  <si>
    <t xml:space="preserve">ROYAL ULTRA </t>
  </si>
  <si>
    <t>Multicine La Estación de Cali</t>
  </si>
  <si>
    <t>Cr 1 H Cl 36 Y - 38 D</t>
  </si>
  <si>
    <t xml:space="preserve">SUPERTIENDAS CAÑAVERAL </t>
  </si>
  <si>
    <t>Cinemas Santiago</t>
  </si>
  <si>
    <t>CL 14 # 11-19</t>
  </si>
  <si>
    <t>Cinemas Santiago Zarzal</t>
  </si>
  <si>
    <t>ZARZAL</t>
  </si>
  <si>
    <t>CR 10 CL 18 - 19</t>
  </si>
  <si>
    <t xml:space="preserve">CINE WORLD MR </t>
  </si>
  <si>
    <t>Cine World</t>
  </si>
  <si>
    <t>Cine World MR</t>
  </si>
  <si>
    <t>CANDELARIA</t>
  </si>
  <si>
    <t>LT 5 VDA Veracruz LT De Terreno del MCP de candelaria VDA Cauca Seco</t>
  </si>
  <si>
    <t xml:space="preserve">ECOCINES </t>
  </si>
  <si>
    <t>Ecocines La Union</t>
  </si>
  <si>
    <t>LA UNIÓN</t>
  </si>
  <si>
    <t>CL 16 # 3 - 112</t>
  </si>
  <si>
    <t xml:space="preserve">ALL CINE </t>
  </si>
  <si>
    <t>All Cine</t>
  </si>
  <si>
    <t>All Cine San Sebastián de Mariquita</t>
  </si>
  <si>
    <t>TOLIMA</t>
  </si>
  <si>
    <t>SAN SEBASTIÁN DE MARIQUITA</t>
  </si>
  <si>
    <t>CL 10 # 4-25</t>
  </si>
  <si>
    <t>Multiplex La Estación</t>
  </si>
  <si>
    <t>IBAGUÉ</t>
  </si>
  <si>
    <t>CL 60 #12 - 224 LC 244</t>
  </si>
  <si>
    <t xml:space="preserve">ESPINAL MULTICINE </t>
  </si>
  <si>
    <t>Multicine Espinal</t>
  </si>
  <si>
    <t>ESPINAL</t>
  </si>
  <si>
    <t>CR 1 #10-50</t>
  </si>
  <si>
    <t>Multicine Acqua</t>
  </si>
  <si>
    <t>CL 57 AV Guabinal # 60 - 8</t>
  </si>
  <si>
    <t>Cinemark Multicentro</t>
  </si>
  <si>
    <t xml:space="preserve">CRR 5A #60 -123 LC 218 CC Multicentro </t>
  </si>
  <si>
    <t>Autocine Cinemas Royal Films Nectar Arena</t>
  </si>
  <si>
    <t>VARIANTE ARMENIA KM 1</t>
  </si>
  <si>
    <t>Sin Dato -Politica Datos</t>
  </si>
  <si>
    <t>Cinépico</t>
  </si>
  <si>
    <t>Cinepico</t>
  </si>
  <si>
    <t>CHAPARRAL</t>
  </si>
  <si>
    <t>CL 10 #9-39 BRR Centro</t>
  </si>
  <si>
    <t>Libano Estelar</t>
  </si>
  <si>
    <t>Cinema Estelar Libano</t>
  </si>
  <si>
    <t>LÍBANO</t>
  </si>
  <si>
    <t>Carrera 10 4-30</t>
  </si>
  <si>
    <t xml:space="preserve">Los Helechos </t>
  </si>
  <si>
    <t>Cinema Los Helechos Cafam</t>
  </si>
  <si>
    <t>MELGAR</t>
  </si>
  <si>
    <t>Cr 8 No 15 - 57 Cafam - Melgar</t>
  </si>
  <si>
    <t>Cinema los Helechos Centro</t>
  </si>
  <si>
    <t>Av 5 24-21 Piso 02</t>
  </si>
  <si>
    <t>Multicine San Francisco</t>
  </si>
  <si>
    <t>SUCRE</t>
  </si>
  <si>
    <t>SINCELEJO</t>
  </si>
  <si>
    <t>CR 25 # 23 - 49 LC 145</t>
  </si>
  <si>
    <t xml:space="preserve">PROMOTORA NACIONAL DE CINES </t>
  </si>
  <si>
    <t>Cine Prox</t>
  </si>
  <si>
    <t>Cinemas Procinal Guacari</t>
  </si>
  <si>
    <t>CL 28 #25B-97 LC 2 234</t>
  </si>
  <si>
    <t>Multiplex Cañaveral</t>
  </si>
  <si>
    <t>SANTANDER</t>
  </si>
  <si>
    <t>FLORIDABLANCA</t>
  </si>
  <si>
    <t>CL 30 #25 - 71 P2 LC 250</t>
  </si>
  <si>
    <t>Multiplex Cabecera</t>
  </si>
  <si>
    <t>BUCARAMANGA</t>
  </si>
  <si>
    <t xml:space="preserve">Cr 35 No 48 - 131 </t>
  </si>
  <si>
    <t>Multiplex Cacique</t>
  </si>
  <si>
    <t>Tv Oriental # 90 - 182 Local 401</t>
  </si>
  <si>
    <t>Multiplex Delacuesta</t>
  </si>
  <si>
    <t>PIEDECUESTA</t>
  </si>
  <si>
    <t>CR 15 # 3 AN - 40 LC 310</t>
  </si>
  <si>
    <t>Multicine Acropolis</t>
  </si>
  <si>
    <t>AV Samanes # 9 - 140</t>
  </si>
  <si>
    <t xml:space="preserve">CINECITY </t>
  </si>
  <si>
    <t>Procinal</t>
  </si>
  <si>
    <t>Cinemas Viva Barrancabermeja</t>
  </si>
  <si>
    <t>BARRANCABERMEJA</t>
  </si>
  <si>
    <t>CL 50 #10A-41 LC 4-29 y 4-30</t>
  </si>
  <si>
    <t xml:space="preserve">CINELANDIA MULTIPLEX </t>
  </si>
  <si>
    <t>Cinelandia</t>
  </si>
  <si>
    <t>Cinelandia Multiplex San Gil</t>
  </si>
  <si>
    <t>SAN GIL</t>
  </si>
  <si>
    <t>Centro Comercial el Puente</t>
  </si>
  <si>
    <t>Cinemark Megamall</t>
  </si>
  <si>
    <t>CR 33A #29 - 15 P3 LC 02 CC Megamall</t>
  </si>
  <si>
    <t>Cinemark Parque Caracoli</t>
  </si>
  <si>
    <t>CR 27 #49-145 LC 502 CC Parque Caracoli</t>
  </si>
  <si>
    <t xml:space="preserve">COMERCIALIZADORA IMPROSER  </t>
  </si>
  <si>
    <t>Multiplex San Gil Plaza</t>
  </si>
  <si>
    <t>Cr 17 No  35 - 46 Centro Comercial San Gil Plaza</t>
  </si>
  <si>
    <t>Cinepolis San Silvestre</t>
  </si>
  <si>
    <t>DG 56 #18A - 88 BRR Galán LC 301</t>
  </si>
  <si>
    <t xml:space="preserve">HOTEL TIUNA </t>
  </si>
  <si>
    <t>Cinebar El Faro</t>
  </si>
  <si>
    <t>Cine Bar El Faro</t>
  </si>
  <si>
    <t>SAN ANDRÉS</t>
  </si>
  <si>
    <t>Av Colombia No 4 - 31</t>
  </si>
  <si>
    <t xml:space="preserve">IMPORTACIONES MILENIO 2000 </t>
  </si>
  <si>
    <t>Cine Hollywood</t>
  </si>
  <si>
    <t>Av 20 de Julio #1-75</t>
  </si>
  <si>
    <t xml:space="preserve">CAMARA DE COMERCIO DE PEREIRA </t>
  </si>
  <si>
    <t>Cine en Cámara</t>
  </si>
  <si>
    <t xml:space="preserve">RISARALDA </t>
  </si>
  <si>
    <t>PEREIRA</t>
  </si>
  <si>
    <t>CRR 8 #23-09 P 3</t>
  </si>
  <si>
    <t xml:space="preserve">Multiplex Victoria </t>
  </si>
  <si>
    <t>CL 11 BIS #17-20 P 4</t>
  </si>
  <si>
    <t>Multicine El Progreso</t>
  </si>
  <si>
    <t>DOSQUEBRADAS</t>
  </si>
  <si>
    <t>AV Simon Bolivar CR 16 # 38 - 130</t>
  </si>
  <si>
    <t>Multicine Bolivar Plaza</t>
  </si>
  <si>
    <t>CR 8 #19 - 27</t>
  </si>
  <si>
    <t>Cinemark Parque Arboleda</t>
  </si>
  <si>
    <t>AV CRV # 5-20 LC 500 CC Parque Arboleda</t>
  </si>
  <si>
    <t>Cinemark Unicentro Pereira</t>
  </si>
  <si>
    <t>AV 30 de Agosto #75 - 51 LC C-16 CC Unicentro</t>
  </si>
  <si>
    <t xml:space="preserve">Multiplex Portal del Quindio </t>
  </si>
  <si>
    <t>QUINDIO</t>
  </si>
  <si>
    <t>ARMENIA</t>
  </si>
  <si>
    <t>Av Bolivar CR 11#19N-46 NV 3 LC 1C</t>
  </si>
  <si>
    <t xml:space="preserve">Fundacion Festival Internacional Cine En Las Montañas </t>
  </si>
  <si>
    <t>Cine En Las Montañas</t>
  </si>
  <si>
    <t>Cinemateca de Salento</t>
  </si>
  <si>
    <t>SALENTO</t>
  </si>
  <si>
    <t>CL 2#4-60</t>
  </si>
  <si>
    <t>Multicine San Andresito</t>
  </si>
  <si>
    <t>CR 18 #59 - 03 P 3 CC San Andresito</t>
  </si>
  <si>
    <t>Multicine Plaza Flora</t>
  </si>
  <si>
    <t>CR 6 #3 - 180</t>
  </si>
  <si>
    <t>Cinemark Unicentro Armenia</t>
  </si>
  <si>
    <t>CR 14 # 6 - 02 LC 3-02 CC Unicentro</t>
  </si>
  <si>
    <t>Normandia CineFamily</t>
  </si>
  <si>
    <t>Normandia Cine Family Puerto Asis</t>
  </si>
  <si>
    <t>PUTUMAYO</t>
  </si>
  <si>
    <t>PUERTO ASÍS</t>
  </si>
  <si>
    <t>CR 20 CL 30 ESQ - La Pista</t>
  </si>
  <si>
    <t>Normandia Cine Family Mocoa</t>
  </si>
  <si>
    <t>MOCOA</t>
  </si>
  <si>
    <t>CL 14 CR 12 ESQ AV San Francisco</t>
  </si>
  <si>
    <t xml:space="preserve">CÁMARA DE COMERCIO DE OCAÑA </t>
  </si>
  <si>
    <t>Cine Leonelda</t>
  </si>
  <si>
    <t>NORTE DE SANTANDER</t>
  </si>
  <si>
    <t>OCAÑA</t>
  </si>
  <si>
    <t>CLL 11 #15 - 03</t>
  </si>
  <si>
    <t xml:space="preserve">CINES Y RESTAURANTES DE COLOMBIA - CYRCO </t>
  </si>
  <si>
    <t>Teatro Cecilia</t>
  </si>
  <si>
    <t>Teatro Cecilia Pamplona</t>
  </si>
  <si>
    <t>PAMPLONA</t>
  </si>
  <si>
    <t>Carrera 7 6 - 35 Centro</t>
  </si>
  <si>
    <t>Multicine Jardin Plaza Cucuta</t>
  </si>
  <si>
    <t>CÚCUTA</t>
  </si>
  <si>
    <t>AVIAL 13-70 URB San Francisco MZ A LT 1 LC A1</t>
  </si>
  <si>
    <t>Multicine Unicentro Cucuta</t>
  </si>
  <si>
    <t>AV Libertadores Canal Bogotá LC 150</t>
  </si>
  <si>
    <t>Cinemark Ventura Plaza</t>
  </si>
  <si>
    <t>CL 10 - 11 DG Santander LC 325 CC Ventura Plaza</t>
  </si>
  <si>
    <t>Multicine Unico Pasto</t>
  </si>
  <si>
    <t>NARIÑO</t>
  </si>
  <si>
    <t>PASTO</t>
  </si>
  <si>
    <t>CL 22 # 6 - 61</t>
  </si>
  <si>
    <t xml:space="preserve">ASOCIACION MAREA PRODUCCIONES </t>
  </si>
  <si>
    <t>Marea Produciiones</t>
  </si>
  <si>
    <t>Sala de Cine La Perla</t>
  </si>
  <si>
    <t>TUMACO</t>
  </si>
  <si>
    <t>CL SOUBLET CA 21B</t>
  </si>
  <si>
    <t>Cinemark Gran Plaza Ipiales</t>
  </si>
  <si>
    <t>IPIALES</t>
  </si>
  <si>
    <t>CL 24 # 6B - 60 LC 201 CC Gran Plaza</t>
  </si>
  <si>
    <t>Cinemark Unicentro Pasto</t>
  </si>
  <si>
    <t>CL 11 # 34-78 LC 238 CC Unicentro</t>
  </si>
  <si>
    <t xml:space="preserve">CINEMAS OT </t>
  </si>
  <si>
    <t>Cinemas Valle De Atriz</t>
  </si>
  <si>
    <t>Valle de Atriz</t>
  </si>
  <si>
    <t>Av Panamericana No 18A - 94 CC Valle de Atriz Piso 3</t>
  </si>
  <si>
    <t>Multiplex Viva Villavicencio</t>
  </si>
  <si>
    <t>META</t>
  </si>
  <si>
    <t>VILLAVICENCIO</t>
  </si>
  <si>
    <t>CL 7 # 45-185 LC L-201</t>
  </si>
  <si>
    <t>Multicine Unico Villavicencio</t>
  </si>
  <si>
    <t>CR 22 # 8C - 67 BRR Jardin</t>
  </si>
  <si>
    <t>Cinemas Unicentro Villavicencio</t>
  </si>
  <si>
    <t>AV 40 #26c - 10 LC 2-62</t>
  </si>
  <si>
    <t>Cinelandia  Multiplex Restrepo</t>
  </si>
  <si>
    <t>RESTREPO</t>
  </si>
  <si>
    <t>Cl 8 Cr 1 Centro Comercial Sun Rise Barrio Centro</t>
  </si>
  <si>
    <t>Cinemark Primavera Urbana</t>
  </si>
  <si>
    <t>CR 40 CL 15 ESQ P 3 LC 318 CC Primavera Urbana</t>
  </si>
  <si>
    <t xml:space="preserve">INVERSIONES  CGS </t>
  </si>
  <si>
    <t>Villacentro</t>
  </si>
  <si>
    <t>Multiplex Villacentro</t>
  </si>
  <si>
    <t xml:space="preserve">Av 40 No. 16 B -159 </t>
  </si>
  <si>
    <t xml:space="preserve">PROYECCIONES CINE GAITAN </t>
  </si>
  <si>
    <t>Cine Premier Gaitàn</t>
  </si>
  <si>
    <t>Cine Premier Gaitan</t>
  </si>
  <si>
    <t>PUERTO GAITÁN</t>
  </si>
  <si>
    <t>Centro Puerto Gaitan</t>
  </si>
  <si>
    <t>Celeste Plaza</t>
  </si>
  <si>
    <t>Celeste Cinema Acacías</t>
  </si>
  <si>
    <t>ACACÍAS</t>
  </si>
  <si>
    <t>CR 23 CL 28 Villa del Llano</t>
  </si>
  <si>
    <t>Celeste Cinema Restaurante Granada</t>
  </si>
  <si>
    <t>GRANADA</t>
  </si>
  <si>
    <t>CL 13 #13-35 Centro</t>
  </si>
  <si>
    <t xml:space="preserve">CINE GOLD </t>
  </si>
  <si>
    <t>El Banco</t>
  </si>
  <si>
    <t>Cine Gold El Banco</t>
  </si>
  <si>
    <t>MAGDALENA</t>
  </si>
  <si>
    <t>EL BANCO</t>
  </si>
  <si>
    <t>CL 7 #9-90</t>
  </si>
  <si>
    <t>Cinemark Buenavista Santa Marta</t>
  </si>
  <si>
    <t>SANTA MARTA</t>
  </si>
  <si>
    <t>AV Libertador frente a la Quinta de San Pedro Alejandrino LC 34 CC Buenavista</t>
  </si>
  <si>
    <t xml:space="preserve">GOLDEN CINEMAS COLOMBIA </t>
  </si>
  <si>
    <t>Golden Cinemas Fundacion</t>
  </si>
  <si>
    <t>Golden cinemas Fundacion</t>
  </si>
  <si>
    <t>FUNDACIÓN</t>
  </si>
  <si>
    <t xml:space="preserve">CL 7 #8-35 Antiguo Teatro Lord </t>
  </si>
  <si>
    <t xml:space="preserve">INVERSIONES ROFI </t>
  </si>
  <si>
    <t>Cineland</t>
  </si>
  <si>
    <t>Cinemas Ocean Mall</t>
  </si>
  <si>
    <t>AV Ferrocarril con AV. Del Río esquina</t>
  </si>
  <si>
    <t>Dorada Plaza
Golden Cinemas</t>
  </si>
  <si>
    <t>Golden Cinemas Rodadero</t>
  </si>
  <si>
    <t>Carrera 4 11A - 119 Piso 4 Centro Comercial Arrecife - Rodadero</t>
  </si>
  <si>
    <t>Multicine Viva Wajiira</t>
  </si>
  <si>
    <t>LA GUAJIRA</t>
  </si>
  <si>
    <t>RIOHACHA</t>
  </si>
  <si>
    <t>Cl 15 No 18 - 274 Local 203</t>
  </si>
  <si>
    <t xml:space="preserve">CAMPOS SAAB </t>
  </si>
  <si>
    <t>Uniplaza / Cinema pitalito</t>
  </si>
  <si>
    <t>Cinemas Uniplaza</t>
  </si>
  <si>
    <t>HUILA</t>
  </si>
  <si>
    <t>PITALITO</t>
  </si>
  <si>
    <t>CL 6 #3-55 P 4</t>
  </si>
  <si>
    <t>Teatro Cecilia Pitalito Gran Plaza</t>
  </si>
  <si>
    <t>Carrera 1519A- 01 Sur CC Gran Plaza San Antonio</t>
  </si>
  <si>
    <t>Teatro Cecilia Unicentro Neiva</t>
  </si>
  <si>
    <t>NEIVA</t>
  </si>
  <si>
    <t>CR 8  22 10 Sur CC Unicentro Neiva  LC 2 14 ET 1</t>
  </si>
  <si>
    <t xml:space="preserve">TITÁN FILMS </t>
  </si>
  <si>
    <t>Titan Films</t>
  </si>
  <si>
    <t>Titán Films La Plata</t>
  </si>
  <si>
    <t>LA PLATA</t>
  </si>
  <si>
    <t>CL 07 # 01 - 58 BRR La Pola</t>
  </si>
  <si>
    <t>Cinemark San Pedro</t>
  </si>
  <si>
    <t>CR 8 # 38 - 42 LC 222 CC San Pedro</t>
  </si>
  <si>
    <t>Cineland Santa Lucia</t>
  </si>
  <si>
    <t>CL 8 CR 50 LC 338</t>
  </si>
  <si>
    <t>Multicine San Juan Plaza</t>
  </si>
  <si>
    <t>Calle 46 No 16 - 200 C.C San Juan Plaza</t>
  </si>
  <si>
    <t>Multicines Único Neiva</t>
  </si>
  <si>
    <t>Cl 64 No 1D - 140 L13</t>
  </si>
  <si>
    <t>Los Andes</t>
  </si>
  <si>
    <t>Cinema Los Andes</t>
  </si>
  <si>
    <t>GARZÓN</t>
  </si>
  <si>
    <t>Calle 7 9-60</t>
  </si>
  <si>
    <t xml:space="preserve">ENTERTAINMENT CINEMA CORPORATION </t>
  </si>
  <si>
    <t>Cines3</t>
  </si>
  <si>
    <t>Cines3 San José</t>
  </si>
  <si>
    <t>GUAVIARE</t>
  </si>
  <si>
    <t>SAN JOSÉ DEL GUAVIARE</t>
  </si>
  <si>
    <t>Carrera 24 8 Torre Comercial Santa Cruz</t>
  </si>
  <si>
    <t>Multiplex Avenida Fusagasugá</t>
  </si>
  <si>
    <t>CUNDINAMARCA</t>
  </si>
  <si>
    <t>FUSAGASUGÁ</t>
  </si>
  <si>
    <t>AC 8 #24-82  LC 241</t>
  </si>
  <si>
    <t>Multiplex Centro Chía</t>
  </si>
  <si>
    <t>CHÍA</t>
  </si>
  <si>
    <t>Av Pradilla 900 Este LC 45</t>
  </si>
  <si>
    <t>Multiplex Mercurio</t>
  </si>
  <si>
    <t>SOACHA</t>
  </si>
  <si>
    <t>CR 7 #32 - 35 LC NA 220 San Mateo</t>
  </si>
  <si>
    <t>Multiplex Ventura Terreros</t>
  </si>
  <si>
    <t>CR 1A #38 - 89 LC 4 - 16</t>
  </si>
  <si>
    <t>Multicine Unicentro Girardot</t>
  </si>
  <si>
    <t>GIRARDOT</t>
  </si>
  <si>
    <t>AV Kennedy con CL 34</t>
  </si>
  <si>
    <t>Multicine Eco Plaza</t>
  </si>
  <si>
    <t>MOSQUERA</t>
  </si>
  <si>
    <t>CR 3 # 15 A - 57</t>
  </si>
  <si>
    <t>Multicine Casa Blanca</t>
  </si>
  <si>
    <t>MADRID</t>
  </si>
  <si>
    <t>CL 7 # 1A - 91 LC 94</t>
  </si>
  <si>
    <t xml:space="preserve">TECNODIVERSION </t>
  </si>
  <si>
    <t>Cinemagic</t>
  </si>
  <si>
    <t>PACHO</t>
  </si>
  <si>
    <t>Cl 7  28-396/398</t>
  </si>
  <si>
    <t>Cinemas Unisur</t>
  </si>
  <si>
    <t>CR 3 #29A-02 AUT SUR LC 018</t>
  </si>
  <si>
    <t>Cinemark Gran Plaza Soacha</t>
  </si>
  <si>
    <t>CR 7 #30B-139 LC 3-301 CC Gran Plaza Soacha</t>
  </si>
  <si>
    <t xml:space="preserve">LOPEZ &amp; SANCHEZ </t>
  </si>
  <si>
    <t>Cinepro</t>
  </si>
  <si>
    <t>Cinepro la Mesa</t>
  </si>
  <si>
    <t>LA MESA</t>
  </si>
  <si>
    <t>DG 4 #5-150</t>
  </si>
  <si>
    <t>Cinepolis Fontanar</t>
  </si>
  <si>
    <t>Km 2.5 Chía Via Cajicá</t>
  </si>
  <si>
    <t xml:space="preserve">V O CINES Y CIA S EN C </t>
  </si>
  <si>
    <t>V.O. Cines</t>
  </si>
  <si>
    <t>Cinemas la Casona</t>
  </si>
  <si>
    <t>ZIPAQUIRÁ</t>
  </si>
  <si>
    <t>CL 1 # 10 - 04 P 2</t>
  </si>
  <si>
    <t>Cinemas El Portico</t>
  </si>
  <si>
    <t>FACATATIVÁ</t>
  </si>
  <si>
    <t>CR 5 # 13 - 50 P 2</t>
  </si>
  <si>
    <t>Multiplex Calera Gardens</t>
  </si>
  <si>
    <t>LA CALERA</t>
  </si>
  <si>
    <t>AV CR  2 # 9A-28 LC 343 ET 2</t>
  </si>
  <si>
    <t xml:space="preserve">Asociación Leteo  </t>
  </si>
  <si>
    <t>Casa Del Cine</t>
  </si>
  <si>
    <t>Leteo - Casa Del Cine</t>
  </si>
  <si>
    <t>CL 10 #3-75</t>
  </si>
  <si>
    <t>Leteo Casa Del Cine Teatro</t>
  </si>
  <si>
    <t>Cl 3 1-51</t>
  </si>
  <si>
    <t>Leteo Casa Del Cine. Sala Agua De Dios</t>
  </si>
  <si>
    <t>AGUA DE DIOS</t>
  </si>
  <si>
    <t>CL 13 #9-50</t>
  </si>
  <si>
    <t>Cinema Villeta C</t>
  </si>
  <si>
    <t>VILLETA</t>
  </si>
  <si>
    <t>Cl 4 #5-41</t>
  </si>
  <si>
    <t>Cinemas Los Angeles</t>
  </si>
  <si>
    <t>Cinema Los Ángeles</t>
  </si>
  <si>
    <t>Cl 10 A No. 2 A -  21</t>
  </si>
  <si>
    <t>Multiplex  Alamedas del Sinú</t>
  </si>
  <si>
    <t>CORDOBA</t>
  </si>
  <si>
    <t>MONTERÍA</t>
  </si>
  <si>
    <t>CR 14 #44-25 LC 1-39</t>
  </si>
  <si>
    <t>Multicine Nuestro Monteria</t>
  </si>
  <si>
    <t>TV 29 #29 - 69 P 2</t>
  </si>
  <si>
    <t xml:space="preserve">CINEMA RIO </t>
  </si>
  <si>
    <t>Cinema Rio Cerete</t>
  </si>
  <si>
    <t>Cinema Rio</t>
  </si>
  <si>
    <t>CERETÉ</t>
  </si>
  <si>
    <t>CR 10 #11a - 30 P 3</t>
  </si>
  <si>
    <t>Cinemark Buenavista Monteria</t>
  </si>
  <si>
    <t>CR 6 #68 - 72 LC 294 CC Buenavista</t>
  </si>
  <si>
    <t>Supercines</t>
  </si>
  <si>
    <t>Supercines Montelibano</t>
  </si>
  <si>
    <t>MONTELÍBANO</t>
  </si>
  <si>
    <t>Carrera 13 13 A 26</t>
  </si>
  <si>
    <t>Cinema Sahagun</t>
  </si>
  <si>
    <t>SAHAGÚN</t>
  </si>
  <si>
    <t>Carrera 6 calle 14 Esquina</t>
  </si>
  <si>
    <t>Cineland el Caraño</t>
  </si>
  <si>
    <t>CHOCO</t>
  </si>
  <si>
    <t>QUIBDO</t>
  </si>
  <si>
    <t>Centro Comercial Aeropuerto El Caraño</t>
  </si>
  <si>
    <t xml:space="preserve">CINES UNIDOS </t>
  </si>
  <si>
    <t>Cines 3 Valledupar</t>
  </si>
  <si>
    <t>CESAR</t>
  </si>
  <si>
    <t>VALLEDUPAR</t>
  </si>
  <si>
    <t>Diagonal 10 6N -15 L224 CC Guatapurí Plaza</t>
  </si>
  <si>
    <t>Cineland Mayales</t>
  </si>
  <si>
    <t>CL 30 #6 A - 133 LC 10</t>
  </si>
  <si>
    <t xml:space="preserve">MARINES FILMS </t>
  </si>
  <si>
    <t>Marines Films</t>
  </si>
  <si>
    <t>Calle 9C #19C1-63 El Amparo</t>
  </si>
  <si>
    <t>Cinepolis Megamall Valledupar</t>
  </si>
  <si>
    <t>CL 16 #19B - 56 LC 303</t>
  </si>
  <si>
    <t>Multicine Unicentro Valledupar</t>
  </si>
  <si>
    <t>Cr 9 Dg 6 Local 3 - 19</t>
  </si>
  <si>
    <t xml:space="preserve">STARK CINEMAS - ZOMAC </t>
  </si>
  <si>
    <t>Stark Cinemas Aguachica</t>
  </si>
  <si>
    <t>AGUACHICA</t>
  </si>
  <si>
    <t>CR 11 # 5A - 48</t>
  </si>
  <si>
    <t>Multiplex Terra PLaza</t>
  </si>
  <si>
    <t>CAUCA</t>
  </si>
  <si>
    <t>POPAYÁN</t>
  </si>
  <si>
    <t>CL 20N #16-10</t>
  </si>
  <si>
    <t>Multicine Campanario</t>
  </si>
  <si>
    <t>CR 9 #24 AV 21</t>
  </si>
  <si>
    <t>Cinelandia Multiplex Yopal</t>
  </si>
  <si>
    <t>CASANARE</t>
  </si>
  <si>
    <t>YOPAL</t>
  </si>
  <si>
    <t>Cll 9 No. 22 - 75Oficina 201</t>
  </si>
  <si>
    <t xml:space="preserve">Cinemark Unicentro Yopal </t>
  </si>
  <si>
    <t>CR 29 # 14 -47 LC 220 CC Unicentro</t>
  </si>
  <si>
    <t xml:space="preserve">GOLDEN CINEMAS VILLAUPIA </t>
  </si>
  <si>
    <t>Golden Cinemas</t>
  </si>
  <si>
    <t>Golden Cinemas Villaupia</t>
  </si>
  <si>
    <t>VILLANUEVA</t>
  </si>
  <si>
    <t>CL 10 #7-61 BRR Fundadores</t>
  </si>
  <si>
    <t xml:space="preserve">ROA &amp; CAMARGO - ZOMAC </t>
  </si>
  <si>
    <t>Stark Cinemas Aguazul</t>
  </si>
  <si>
    <t>AGUAZUL</t>
  </si>
  <si>
    <t>CR18 #13 - 61 BRR Centro</t>
  </si>
  <si>
    <t>Cinemark Gran Plaza Florencia</t>
  </si>
  <si>
    <t>CAQUETÁ</t>
  </si>
  <si>
    <t>FLORENCIA</t>
  </si>
  <si>
    <t>CR 3A BIS # 21A - 14 (DG 22) LC 212L CC Gran Plaza</t>
  </si>
  <si>
    <t>All Cine Manizales</t>
  </si>
  <si>
    <t>CALDAS</t>
  </si>
  <si>
    <t>MANIZALES</t>
  </si>
  <si>
    <t xml:space="preserve">CR 23 # 65-11 </t>
  </si>
  <si>
    <t xml:space="preserve">CAJA DE COMPENSACIÓN FAMILIAR DE CALDAS - CONFA </t>
  </si>
  <si>
    <t>CONFA</t>
  </si>
  <si>
    <t>Auditorio Hernando Aristizábal Botero</t>
  </si>
  <si>
    <t>Crr 25 #50 Esquina</t>
  </si>
  <si>
    <t>Multiplex Fundadores</t>
  </si>
  <si>
    <t>CL 33B #20 - 03 LC 352</t>
  </si>
  <si>
    <t xml:space="preserve">FUNDACIÓN REDESPIRAL </t>
  </si>
  <si>
    <t>Redespiral</t>
  </si>
  <si>
    <t>Cinema Fundadores</t>
  </si>
  <si>
    <t>Calle 33 24-28</t>
  </si>
  <si>
    <t>Cinespiral</t>
  </si>
  <si>
    <t>CR 23B  70A  99</t>
  </si>
  <si>
    <t>Cinepolis Mall Plaza Manizales</t>
  </si>
  <si>
    <t>AV Kevin Angel #56B - 02 LC A3000</t>
  </si>
  <si>
    <t xml:space="preserve">INFINITY FILMS </t>
  </si>
  <si>
    <t>Infinity Films</t>
  </si>
  <si>
    <t>CHINCHINÁ</t>
  </si>
  <si>
    <t>CL 10 # 7 - 50 Centro</t>
  </si>
  <si>
    <t>Cinema Digital La Dorada</t>
  </si>
  <si>
    <t>LA DORADA</t>
  </si>
  <si>
    <t>CRA 6 11-39</t>
  </si>
  <si>
    <t>Golden Cinemas La Dorada</t>
  </si>
  <si>
    <t>Carrera 4 Calle 15 Centro Comercial Dorada Plaza Local 104</t>
  </si>
  <si>
    <t xml:space="preserve">MEGACINE </t>
  </si>
  <si>
    <t>Megacine</t>
  </si>
  <si>
    <t>BOYACA</t>
  </si>
  <si>
    <t>CHIQUINQUIRÁ</t>
  </si>
  <si>
    <t>CR 12 # 16-7 CC Balcones de San José</t>
  </si>
  <si>
    <t>Multicine Viva Tunja</t>
  </si>
  <si>
    <t>TUNJA</t>
  </si>
  <si>
    <t>AV Universitaria # 50 - 21 LC 205</t>
  </si>
  <si>
    <t xml:space="preserve">SMART CINEMAS </t>
  </si>
  <si>
    <t>Smart Cinemas Tunja</t>
  </si>
  <si>
    <t>AV Universitaria 39 - 77 LC 1-013 CC Unicentro</t>
  </si>
  <si>
    <t>Cinelandia Iwoka</t>
  </si>
  <si>
    <t>SOGAMOSO</t>
  </si>
  <si>
    <t>Cl 30 Cr 28 Centro Comercial Iwoka</t>
  </si>
  <si>
    <t>Cinemas Pasaje Solano</t>
  </si>
  <si>
    <t>DUITAMA</t>
  </si>
  <si>
    <t>CL 10 A #12-32 LC Cines P 2</t>
  </si>
  <si>
    <t>Cinemas Innovo Plaza</t>
  </si>
  <si>
    <t>CL 18 # 12 - 53 P 2</t>
  </si>
  <si>
    <t xml:space="preserve">EL PUERTO MEDIA </t>
  </si>
  <si>
    <t>Cinemateca de Tunja</t>
  </si>
  <si>
    <t>CL17 # 15-36</t>
  </si>
  <si>
    <t>Cine&amp;Café</t>
  </si>
  <si>
    <t>Cine&amp;Cafe G.I.</t>
  </si>
  <si>
    <t>PUERTO BOYACÁ</t>
  </si>
  <si>
    <t>CR 5 #12-40</t>
  </si>
  <si>
    <t>Golden Garagoa</t>
  </si>
  <si>
    <t>Golden Cinemas Garagoa</t>
  </si>
  <si>
    <t>GARAGOA</t>
  </si>
  <si>
    <t xml:space="preserve">CL 12 #7-83 </t>
  </si>
  <si>
    <t>Multiplex Caribe Plaza</t>
  </si>
  <si>
    <t>BOLIVAR</t>
  </si>
  <si>
    <t>CARTAGENA DE INDIAS</t>
  </si>
  <si>
    <t>CL 29 #22-108 LC 2-41</t>
  </si>
  <si>
    <t>Multiplex Paseo de la Castellana</t>
  </si>
  <si>
    <t>Av Pedro de Heredia CL 30 #30-31 LC 200</t>
  </si>
  <si>
    <t>Multiplex Plaza Bocagrande</t>
  </si>
  <si>
    <t>CR 1 #12-118 LC  4-04</t>
  </si>
  <si>
    <t>Multicine San Fernando</t>
  </si>
  <si>
    <t>TV 93 ESQ AV Pedro de Heredia CC San Fernando</t>
  </si>
  <si>
    <t>Cinemas la Plazuela</t>
  </si>
  <si>
    <t>DG 31 #71-136 P 2 LC E4</t>
  </si>
  <si>
    <t>Cineland Plaza 90</t>
  </si>
  <si>
    <t>TURBACO</t>
  </si>
  <si>
    <t>CL 27 #30 esquina Troncal Occidente Brr Country</t>
  </si>
  <si>
    <t>Cinema Films</t>
  </si>
  <si>
    <t>Cinema Films Magangue</t>
  </si>
  <si>
    <t>MAGANGUÉ</t>
  </si>
  <si>
    <t>CLL 16 #10-201 LC 144</t>
  </si>
  <si>
    <t xml:space="preserve">BABILLA CINE </t>
  </si>
  <si>
    <t>Cinema Paraíso</t>
  </si>
  <si>
    <t>BOGOTA. D.C.</t>
  </si>
  <si>
    <t>CLL 69 #6-20 BRR Emaus Chapinero</t>
  </si>
  <si>
    <t>Multiplex Andino</t>
  </si>
  <si>
    <t>CR12 #82-02 LC 311-312</t>
  </si>
  <si>
    <t>Multiplex Avenida Chile</t>
  </si>
  <si>
    <t>Cl 72 #10-34 LC 332A</t>
  </si>
  <si>
    <t xml:space="preserve">Multiplex Portoalegre </t>
  </si>
  <si>
    <t>CR 58 #137B-01 LC 83</t>
  </si>
  <si>
    <t>Multiplex Américas</t>
  </si>
  <si>
    <t>CR 71D #4-40 Sur</t>
  </si>
  <si>
    <t xml:space="preserve">Multiplex Unicentro </t>
  </si>
  <si>
    <t>AV 15 #124-30 LC 1200</t>
  </si>
  <si>
    <t>Multiplex Portal 80</t>
  </si>
  <si>
    <t>CLL 80 #100-52 LC 3 010</t>
  </si>
  <si>
    <t>Multiplex Centro Mayor</t>
  </si>
  <si>
    <t>CL 38A sur #34D-51 LC 3039</t>
  </si>
  <si>
    <t>Multiplex Titan Plaza</t>
  </si>
  <si>
    <t>AV CR 72 # 80 - 94 LC 409</t>
  </si>
  <si>
    <t>Multiplex Santafé Bogotá</t>
  </si>
  <si>
    <t xml:space="preserve">CL 185 #45-03 LC 272 </t>
  </si>
  <si>
    <t>Multiplex Plaza Central</t>
  </si>
  <si>
    <t>CR 65 #11-50 LC 384</t>
  </si>
  <si>
    <t xml:space="preserve">Multiplex Metropolis </t>
  </si>
  <si>
    <t>AV CR 68 #75A-50  LC 371</t>
  </si>
  <si>
    <t xml:space="preserve">Multiplex Cedritos </t>
  </si>
  <si>
    <t>CL150 # 31-56 LC 2147</t>
  </si>
  <si>
    <t>Multiplex Gran Estación</t>
  </si>
  <si>
    <t>AV CL 26 # 62-49 LC 335</t>
  </si>
  <si>
    <t xml:space="preserve">Multiplex Embajador </t>
  </si>
  <si>
    <t>CL 24 #5-86</t>
  </si>
  <si>
    <t>Multiplex Calle 100</t>
  </si>
  <si>
    <t>Tv 55 No. 98A-66 LC 331</t>
  </si>
  <si>
    <t>Multiplex Galerías</t>
  </si>
  <si>
    <t xml:space="preserve">CL 53B # 25-21 LC 2168 </t>
  </si>
  <si>
    <t>Multiplex Nuestro Bogotá</t>
  </si>
  <si>
    <t>AV CR 86 # 63-20 LC L2-045</t>
  </si>
  <si>
    <t xml:space="preserve">Multiplex Lumina </t>
  </si>
  <si>
    <t>CL 114 # 6A-92 LC D349/50</t>
  </si>
  <si>
    <t xml:space="preserve">CORPORACIÓN MALOKA DE CIENCIA, TECNOLOGÍA E INNOVACIÓN </t>
  </si>
  <si>
    <t>Maloka</t>
  </si>
  <si>
    <t xml:space="preserve">Corporación Maloka de Ciencia, Tecnología e Innovación </t>
  </si>
  <si>
    <t>CR 68D#24A-51</t>
  </si>
  <si>
    <t>Cinema Local - San Felipe</t>
  </si>
  <si>
    <t>CL 74 #20B-19</t>
  </si>
  <si>
    <t xml:space="preserve">INSTITUTO DISTRITAL DE LAS ARTES - IDARTES </t>
  </si>
  <si>
    <t>Cinemateca De Bogotá</t>
  </si>
  <si>
    <t>CR 3 #19-10</t>
  </si>
  <si>
    <t>Cinemateca Bogotá El Tunal</t>
  </si>
  <si>
    <t>Centro deportivo, recreativo y cultural Parque Metropolitano El Tunal - CL 48 B SUR #23-35</t>
  </si>
  <si>
    <t>Cinemateca Bogotá Fontanar del Rio</t>
  </si>
  <si>
    <t>Centro de Felicidad Fontanar del Rio - AV CL 145 #138A - 10</t>
  </si>
  <si>
    <t>Multicine Milenio Plaza</t>
  </si>
  <si>
    <t>CR 86 AV Ciudad de Cali # 42b - 51 sur</t>
  </si>
  <si>
    <t>Multicine Altavista</t>
  </si>
  <si>
    <t>CR 1 #65 D - 58 Sur</t>
  </si>
  <si>
    <t xml:space="preserve">CINE ÉXITO </t>
  </si>
  <si>
    <t>Teatro Esmeralda Pussycat
XXX</t>
  </si>
  <si>
    <t>Teatro Esmeralda Pussycat</t>
  </si>
  <si>
    <t xml:space="preserve">Cr 7 No 23 - 73 </t>
  </si>
  <si>
    <t>Cinemas Bima</t>
  </si>
  <si>
    <t>AUT NORTE 232-35 LC Procinal</t>
  </si>
  <si>
    <t>Cinemas Bulevar Niza</t>
  </si>
  <si>
    <t>AV CR 58 #127-59</t>
  </si>
  <si>
    <t>Cinemas Centro Suba</t>
  </si>
  <si>
    <t>CL 140 #91-19 LC 15-101</t>
  </si>
  <si>
    <t>Cinemas Palatino</t>
  </si>
  <si>
    <t>CR 7 139-07 LC 319</t>
  </si>
  <si>
    <t>Cinemas Plaza de las Américas</t>
  </si>
  <si>
    <t>TV 71D #6 - 94 SUR LC 2508/2511</t>
  </si>
  <si>
    <t>Cinemas Salitre Plaza</t>
  </si>
  <si>
    <t>CR 68B #24-39</t>
  </si>
  <si>
    <t>Cinemas Tintal Plaza</t>
  </si>
  <si>
    <t>TV 86 #6-37 LC 301</t>
  </si>
  <si>
    <t>Cinemas Tunal</t>
  </si>
  <si>
    <t>CL 47 B #24B-33 SUR LC 2149</t>
  </si>
  <si>
    <t>Cinemas Unicentro de Occidente</t>
  </si>
  <si>
    <t>CR 111c #86-74 Local 2-55</t>
  </si>
  <si>
    <t>Cinemas Imax</t>
  </si>
  <si>
    <t>TV 71D#6-94 Sur</t>
  </si>
  <si>
    <t xml:space="preserve">CINEMANÍA </t>
  </si>
  <si>
    <t>Cinemania</t>
  </si>
  <si>
    <t xml:space="preserve">CR 14 #93A -85 </t>
  </si>
  <si>
    <t>Cinemark Atlantis Plaza</t>
  </si>
  <si>
    <t>CL 81 #13 - 05 LC 501 CC Atlantis Plaza</t>
  </si>
  <si>
    <t>Cinemark Floresta</t>
  </si>
  <si>
    <t>AV CR 68 #90-88 LC 2064 CC Cafam Floresta</t>
  </si>
  <si>
    <t>Cinemark Gran Plaza Bosa</t>
  </si>
  <si>
    <t>CL 65 Sur #78H-51 LC 313 CC Gran Plaza Bosa</t>
  </si>
  <si>
    <t>Cinemark Gran Plaza Ensueño</t>
  </si>
  <si>
    <t>CL 59C Sur #51-21 LC 201 CC Gran Plaza Ensueño</t>
  </si>
  <si>
    <t>Cinemark Micentro</t>
  </si>
  <si>
    <t>CL 54F Sur #94-18 LC 222 CC Micentro</t>
  </si>
  <si>
    <t>Cinemark Multiplaza La Felicidad</t>
  </si>
  <si>
    <t>CL 19A #72-57 LC C111 CC Multiplaza</t>
  </si>
  <si>
    <t>Cinemark Parque La Colina</t>
  </si>
  <si>
    <t>CR 58D #146-51 LC 331 CC Parque Colina</t>
  </si>
  <si>
    <t>Cinemark Plaza Imperial</t>
  </si>
  <si>
    <t>AV CR 104 #148-07 LC 2471 CC Plaza Imperial</t>
  </si>
  <si>
    <t xml:space="preserve">CINES PREMIER </t>
  </si>
  <si>
    <t>Cines El Eden / Viziona</t>
  </si>
  <si>
    <t>CINES EL EDEN</t>
  </si>
  <si>
    <t>AV CR 72 #12B - 48</t>
  </si>
  <si>
    <t>Cinepolis Calima Bogota</t>
  </si>
  <si>
    <t>AV CL 19 #28 - 80 LC C28</t>
  </si>
  <si>
    <t>Cinepolis Diver Plaza</t>
  </si>
  <si>
    <t>CR 68 #24B-10 LC 2-18</t>
  </si>
  <si>
    <t>Cinepolis Hayuelos</t>
  </si>
  <si>
    <t>CL 20 #82  52 LC 256</t>
  </si>
  <si>
    <t>Cinepolis Plaza Claro</t>
  </si>
  <si>
    <t>Cr 68 A No 24 BB - 10 P 2</t>
  </si>
  <si>
    <t>Cinemas Royal Films Las Americas</t>
  </si>
  <si>
    <t xml:space="preserve">Carrera 71D 6-94 Local 2437 CC Plaza de las Américas </t>
  </si>
  <si>
    <t>Cinemas Royal Films Paseo Villa Del Rio</t>
  </si>
  <si>
    <t>Dg 57 C Sur No. 62 60 Lc 404</t>
  </si>
  <si>
    <t>Royal Films Paseo San Rafael</t>
  </si>
  <si>
    <t>Calle 134 55-30 CC Paseo San Rafael</t>
  </si>
  <si>
    <t xml:space="preserve">BZ CINE </t>
  </si>
  <si>
    <t>Trama</t>
  </si>
  <si>
    <t>Sala VIP BZ</t>
  </si>
  <si>
    <t>CL 19 #04 - 56</t>
  </si>
  <si>
    <t>Multiplex Buenavista</t>
  </si>
  <si>
    <t>ATLANTICO</t>
  </si>
  <si>
    <t>BARRANQUILLA</t>
  </si>
  <si>
    <t>CR 53 CL 98 ESQ LC300</t>
  </si>
  <si>
    <t>Multiplex Parque Alegra</t>
  </si>
  <si>
    <t>CL 30 #4B-180 LC 241</t>
  </si>
  <si>
    <t xml:space="preserve">FUNDACIÓN CINEMATECA DEL CARIBE </t>
  </si>
  <si>
    <t>Cinemateca Del Caribe</t>
  </si>
  <si>
    <t>Cinemateca del Caribe</t>
  </si>
  <si>
    <t>CL 76 #57-61</t>
  </si>
  <si>
    <t xml:space="preserve">MULTICINES EL POBLADO </t>
  </si>
  <si>
    <t>Multicines El Poblado S.A.S</t>
  </si>
  <si>
    <t>SANTO TOMÁS</t>
  </si>
  <si>
    <t>Cl 15 No 11 C - 75 P1 Km 21 Vía Oriental</t>
  </si>
  <si>
    <t>Multicine Viva Barranquilla</t>
  </si>
  <si>
    <t>CR 51 B #87 - 50 LC 408 P 4</t>
  </si>
  <si>
    <t>Cinema Metro Centro</t>
  </si>
  <si>
    <t>CL 45 # 1 - 85 P 2</t>
  </si>
  <si>
    <t>Multicine Portal del Prado</t>
  </si>
  <si>
    <t>CL 53 #46 -192</t>
  </si>
  <si>
    <t>Multicine Nuestro Atlantico</t>
  </si>
  <si>
    <t>CL 63 # 13 - 71</t>
  </si>
  <si>
    <t>Cinemark Gran Plaza del Sol</t>
  </si>
  <si>
    <t>SOLEDAD</t>
  </si>
  <si>
    <t>CR 32 #30-152 LC 201 CC Gran Plaza del Sol</t>
  </si>
  <si>
    <t>Cinepolis VIP Mall Plaza Buenavista</t>
  </si>
  <si>
    <t>CR 55 #99 -51 LC A-4001</t>
  </si>
  <si>
    <t>Cinemas Procinal Carnaval</t>
  </si>
  <si>
    <t>Cl 30 No  12 - 44 Local 2057</t>
  </si>
  <si>
    <t>Multicine Único Barranquilla</t>
  </si>
  <si>
    <t>Cl 74 No 38 D - 113</t>
  </si>
  <si>
    <t xml:space="preserve">CENTRO COLOMBO AMERICANO DE MEDELLÍN </t>
  </si>
  <si>
    <t>Colombo Americano De Medellin</t>
  </si>
  <si>
    <t>Centro Colombo Americano de Medellin</t>
  </si>
  <si>
    <t>ANTIOQUIA</t>
  </si>
  <si>
    <t>MEDELLÍN</t>
  </si>
  <si>
    <t>CR 45 #53 - 24</t>
  </si>
  <si>
    <t>Multiplex Viva Envigado</t>
  </si>
  <si>
    <t>ENVIGADO</t>
  </si>
  <si>
    <t>CR 48 #32B SUR 139 LC 217</t>
  </si>
  <si>
    <t>Multiplex Unicentro Medellin</t>
  </si>
  <si>
    <t>CR 66 B #34 A -76 LC 372</t>
  </si>
  <si>
    <t xml:space="preserve">Multiplex Los Molinos </t>
  </si>
  <si>
    <t>CL 30 A #82 A - 26 LC3003</t>
  </si>
  <si>
    <t xml:space="preserve">Multiplex Oviedo </t>
  </si>
  <si>
    <t xml:space="preserve">CL 6 sur #. 43 - 227 LC 5385 </t>
  </si>
  <si>
    <t>Multiplex Santafé Medellín</t>
  </si>
  <si>
    <t>CR 43 A #7 Sur - 170 LC 5178</t>
  </si>
  <si>
    <t>Multiplex Vizcaya</t>
  </si>
  <si>
    <t>CL 10 #32-115 LC 210</t>
  </si>
  <si>
    <t xml:space="preserve">CLANDESTINO RESTAURANTES </t>
  </si>
  <si>
    <t>Clandestino Restaurante</t>
  </si>
  <si>
    <t>Clandestino Restaurantes</t>
  </si>
  <si>
    <t>CL 12 #43B-13 Poblado</t>
  </si>
  <si>
    <t xml:space="preserve">COOPERATIVA MULTIACTIVA COOCINE </t>
  </si>
  <si>
    <t>Coocine</t>
  </si>
  <si>
    <t>SANTA ELENA. VRD EL PLAN VÍA LA MORENA DG 5 ESTE # 8-261 CA15</t>
  </si>
  <si>
    <t xml:space="preserve">CORPORACIÓN MUSEO DE ARTE MODERNO DE MEDELLÍN </t>
  </si>
  <si>
    <t>Mamm</t>
  </si>
  <si>
    <t>Museo de Arte Moderno de Medellín</t>
  </si>
  <si>
    <t>CR 44 #19A-100</t>
  </si>
  <si>
    <t>Multicine Bosque Plaza</t>
  </si>
  <si>
    <t>CL 73 #51D - 71 P 3</t>
  </si>
  <si>
    <t>Multicine Plaza Arrayanes</t>
  </si>
  <si>
    <t>ITAGÜÍ</t>
  </si>
  <si>
    <t>CR 36 # 46 - 00 LC 308 P 3 CC Plaza Arrayanes</t>
  </si>
  <si>
    <t>Multicine Premium Plaza</t>
  </si>
  <si>
    <t>CL 29 #43-6 LC 3392</t>
  </si>
  <si>
    <t>Multicine Viva Caucasia</t>
  </si>
  <si>
    <t>CAUCASIA</t>
  </si>
  <si>
    <t>CR 20 #28 - 12 P 2</t>
  </si>
  <si>
    <t>Multicine Jumbo La 65</t>
  </si>
  <si>
    <t>CL 47 #65 - 115</t>
  </si>
  <si>
    <t xml:space="preserve">Cinemas Terminal del Sur </t>
  </si>
  <si>
    <t>CR 65 #8B-91 P2</t>
  </si>
  <si>
    <t>Cinemark Arkadia</t>
  </si>
  <si>
    <t>CR 70 #1-09 LC 465 CC Arkadia</t>
  </si>
  <si>
    <t>Cinemark El Tesoro</t>
  </si>
  <si>
    <t>TV CR 25A # 1A SUR - 45 CC El Tesoro</t>
  </si>
  <si>
    <t xml:space="preserve">COLOMBIANA DE CINES </t>
  </si>
  <si>
    <t>Cineprox</t>
  </si>
  <si>
    <t>Aves María</t>
  </si>
  <si>
    <t>SABANETA</t>
  </si>
  <si>
    <t>CL 51 Sur #48-57 LC 5571</t>
  </si>
  <si>
    <t>Cinemas Mayorca</t>
  </si>
  <si>
    <t>CL 51 #48-57 LC 5571</t>
  </si>
  <si>
    <t>Cinemas Parque Fabricato</t>
  </si>
  <si>
    <t>BELLO</t>
  </si>
  <si>
    <t>CR 50 #38A-185 LC 4284</t>
  </si>
  <si>
    <t>Cinemas Procinal Aventura</t>
  </si>
  <si>
    <t>CR 52 #66-11</t>
  </si>
  <si>
    <t>Cinemas Procinal Central</t>
  </si>
  <si>
    <t>CL 49 #20-90 LC 6020</t>
  </si>
  <si>
    <t>Cinemas Procinal Viva La Ceja</t>
  </si>
  <si>
    <t>LA CEJA</t>
  </si>
  <si>
    <t>CR 13 #26B-56 LC 201</t>
  </si>
  <si>
    <t>Florida Parque</t>
  </si>
  <si>
    <t>CL 71 #65-105 LC 2273</t>
  </si>
  <si>
    <t>San Nicolas</t>
  </si>
  <si>
    <t>RIONEGRO</t>
  </si>
  <si>
    <t>CL 43 #54 - 39 LC 3373</t>
  </si>
  <si>
    <t>Cineland Nuestro Urabá</t>
  </si>
  <si>
    <t>APARTADÓ</t>
  </si>
  <si>
    <t>CR 100 KM 1 Vía Apartado Carepa</t>
  </si>
  <si>
    <t>Cinepolis City Plaza</t>
  </si>
  <si>
    <t>CL 36D Sur #27A-105 LC 330</t>
  </si>
  <si>
    <t>Cinemas Las Américas</t>
  </si>
  <si>
    <t>Dg 75 B No. 2 A - 120</t>
  </si>
  <si>
    <t>Cinemas Monterrey</t>
  </si>
  <si>
    <t>Cr 48 No. 10 - 45 Local 301/302</t>
  </si>
  <si>
    <t>Plaza del Río</t>
  </si>
  <si>
    <t>Carrera 100 103-45 Piso 2 Local 201</t>
  </si>
  <si>
    <t>Puerta del Norte</t>
  </si>
  <si>
    <t>Dg 55 No. 35 - 217</t>
  </si>
  <si>
    <t xml:space="preserve">CAJA DE COMPENSACIÓN FAMILIAR DE ANTIOQUIA COMFAMA </t>
  </si>
  <si>
    <t>Comfama</t>
  </si>
  <si>
    <t>Capilla Comfama</t>
  </si>
  <si>
    <t>CR 44 #48-18</t>
  </si>
  <si>
    <t>Teatro Comfama</t>
  </si>
  <si>
    <t>CL 48 #43-87 P 4</t>
  </si>
  <si>
    <t>Parque cultural y ambiental Otraparte - Biblioteca Casa Museo</t>
  </si>
  <si>
    <t>CL 27 Sur #43A-51, ZN 2</t>
  </si>
  <si>
    <t xml:space="preserve">CINE MAAX BARBOSA </t>
  </si>
  <si>
    <t>Cine Maax Barbosa</t>
  </si>
  <si>
    <t>BARBOSA</t>
  </si>
  <si>
    <t>CR 14 CL #11-58 INT.201</t>
  </si>
  <si>
    <t>Sinfonia
XXX</t>
  </si>
  <si>
    <t>Teatro Sinfonia</t>
  </si>
  <si>
    <t xml:space="preserve">Cr 47 No 53 - 29 </t>
  </si>
  <si>
    <t># Salas</t>
  </si>
  <si>
    <t>Suma de Capacidad Esp</t>
  </si>
  <si>
    <t>Fuente SIREC, Corte 06 de mayo de 2026</t>
  </si>
  <si>
    <t>Departamento</t>
  </si>
  <si>
    <t>AÑO 2024</t>
  </si>
  <si>
    <t>AÑO 2025</t>
  </si>
  <si>
    <t xml:space="preserve">AÑO 2026 ( a corte) </t>
  </si>
  <si>
    <t>Ciudad</t>
  </si>
  <si>
    <t># Salas activas  en el periódo</t>
  </si>
  <si>
    <r>
      <t xml:space="preserve">Admisiones
</t>
    </r>
    <r>
      <rPr>
        <b/>
        <sz val="11"/>
        <color theme="5" tint="-0.499984740745262"/>
        <rFont val="Aptos Narrow"/>
        <family val="2"/>
        <scheme val="minor"/>
      </rPr>
      <t>(Miles)</t>
    </r>
  </si>
  <si>
    <t>RISARALDA</t>
  </si>
  <si>
    <t>SAN ANDRÉSPROVIDENCIA</t>
  </si>
  <si>
    <t>PROVIDENCIA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</si>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</sst>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sz val="10"/>
      <color theme="8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1"/>
      <name val="Calibri"/>
      <family val="2"/>
    </font>
    <font>
      <sz val="11"/>
      <color theme="8" tint="0.39997558519241921"/>
      <name val="Aptos Narrow"/>
      <family val="2"/>
      <scheme val="minor"/>
    </font>
    <font>
      <i/>
      <sz val="11"/>
      <color theme="7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i/>
      <sz val="10"/>
      <color theme="8" tint="-0.499984740745262"/>
      <name val="Aptos Narrow"/>
      <family val="2"/>
      <scheme val="minor"/>
    </font>
    <font>
      <b/>
      <sz val="10"/>
      <color theme="8" tint="-0.499984740745262"/>
      <name val="Aptos Narrow"/>
      <family val="2"/>
      <scheme val="minor"/>
    </font>
    <font>
      <b/>
      <sz val="10"/>
      <color theme="8" tint="-0.249977111117893"/>
      <name val="Calibri"/>
      <family val="2"/>
    </font>
    <font>
      <b/>
      <sz val="10"/>
      <color rgb="FF7030A0"/>
      <name val="Calibri"/>
      <family val="2"/>
    </font>
    <font>
      <sz val="11"/>
      <color theme="8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8" tint="0.59996337778862885"/>
      </right>
      <top/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/>
      <bottom style="thin">
        <color theme="8" tint="0.59996337778862885"/>
      </bottom>
      <diagonal/>
    </border>
    <border>
      <left/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/>
      <top style="thin">
        <color theme="8" tint="0.59996337778862885"/>
      </top>
      <bottom style="thin">
        <color theme="8" tint="0.59996337778862885"/>
      </bottom>
      <diagonal/>
    </border>
    <border>
      <left/>
      <right style="thin">
        <color theme="8" tint="0.59996337778862885"/>
      </right>
      <top style="thin">
        <color theme="8" tint="0.59996337778862885"/>
      </top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/>
      <diagonal/>
    </border>
    <border>
      <left style="thin">
        <color theme="8" tint="0.59996337778862885"/>
      </left>
      <right/>
      <top style="thin">
        <color theme="8" tint="0.59996337778862885"/>
      </top>
      <bottom/>
      <diagonal/>
    </border>
    <border>
      <left/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8" tint="0.59996337778862885"/>
      </left>
      <right/>
      <top/>
      <bottom style="thin">
        <color theme="8" tint="0.59996337778862885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9" fillId="0" borderId="0"/>
  </cellStyleXfs>
  <cellXfs count="45">
    <xf numFmtId="0" fontId="0" fillId="0" borderId="0" xfId="0"/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5" fillId="0" borderId="0" xfId="0" applyFont="1"/>
    <xf numFmtId="0" fontId="4" fillId="0" borderId="0" xfId="0" applyFont="1"/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64" fontId="0" fillId="0" borderId="0" xfId="2" applyNumberFormat="1" applyFont="1"/>
    <xf numFmtId="0" fontId="8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0" fillId="0" borderId="0" xfId="0" applyFont="1"/>
    <xf numFmtId="0" fontId="11" fillId="4" borderId="0" xfId="0" applyFont="1" applyFill="1"/>
    <xf numFmtId="0" fontId="12" fillId="4" borderId="0" xfId="0" applyFont="1" applyFill="1"/>
    <xf numFmtId="165" fontId="11" fillId="4" borderId="0" xfId="0" applyNumberFormat="1" applyFont="1" applyFill="1"/>
    <xf numFmtId="0" fontId="0" fillId="2" borderId="0" xfId="0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14" fillId="0" borderId="6" xfId="0" applyFont="1" applyBorder="1"/>
    <xf numFmtId="0" fontId="4" fillId="0" borderId="7" xfId="0" applyFont="1" applyBorder="1"/>
    <xf numFmtId="0" fontId="15" fillId="0" borderId="7" xfId="0" applyFont="1" applyBorder="1"/>
    <xf numFmtId="0" fontId="4" fillId="0" borderId="8" xfId="0" applyFont="1" applyBorder="1"/>
    <xf numFmtId="1" fontId="8" fillId="0" borderId="0" xfId="0" applyNumberFormat="1" applyFont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16" fillId="5" borderId="0" xfId="0" applyFont="1" applyFill="1" applyAlignment="1">
      <alignment vertical="center" wrapText="1"/>
    </xf>
    <xf numFmtId="14" fontId="18" fillId="5" borderId="15" xfId="0" applyNumberFormat="1" applyFont="1" applyFill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</cellXfs>
  <cellStyles count="4">
    <cellStyle name="Comma" xfId="2" builtinId="3"/>
    <cellStyle name="Hyperlink" xfId="1" xr:uid="{8645E01D-B721-4614-9EBF-93E15B7F1A8E}"/>
    <cellStyle name="Normal" xfId="0" builtinId="0"/>
    <cellStyle name="Normal 4" xfId="3" xr:uid="{47252703-8247-40DC-8E25-82BD7B842C41}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 style="thin">
          <color theme="8" tint="0.59996337778862885"/>
        </left>
        <right/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 style="thin">
          <color theme="8" tint="0.59996337778862885"/>
        </left>
        <right/>
        <top style="thin">
          <color theme="8" tint="0.5999633777886288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 style="thin">
          <color theme="8" tint="0.59996337778862885"/>
        </left>
        <right style="thin">
          <color theme="8" tint="0.59996337778862885"/>
        </right>
        <top style="thin">
          <color theme="8" tint="0.59996337778862885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>
        <left/>
        <right style="thin">
          <color theme="8" tint="0.59996337778862885"/>
        </right>
        <top style="thin">
          <color theme="8" tint="0.59996337778862885"/>
        </top>
        <bottom style="thin">
          <color theme="8" tint="0.59996337778862885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  <border diagonalUp="0" diagonalDown="0" outline="0">
        <left/>
        <right style="thin">
          <color theme="8" tint="0.59996337778862885"/>
        </right>
        <top style="thin">
          <color theme="8" tint="0.59996337778862885"/>
        </top>
        <bottom/>
      </border>
    </dxf>
    <dxf>
      <border outline="0">
        <bottom style="thin">
          <color theme="8" tint="-0.499984740745262"/>
        </bottom>
      </border>
    </dxf>
    <dxf>
      <border outline="0">
        <left style="thin">
          <color theme="8" tint="-0.499984740745262"/>
        </left>
        <right style="thin">
          <color theme="8" tint="-0.499984740745262"/>
        </right>
        <top style="thin">
          <color theme="8" tint="-0.499984740745262"/>
        </top>
        <bottom style="thin">
          <color theme="8" tint="0.599963377788628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Aptos Narrow"/>
        <family val="2"/>
        <scheme val="minor"/>
      </font>
      <fill>
        <patternFill patternType="solid">
          <fgColor theme="4" tint="0.79998168889431442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-0.499984740745262"/>
        </left>
        <right style="thin">
          <color theme="8" tint="-0.499984740745262"/>
        </right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font>
        <color theme="8" tint="-0.499984740745262"/>
      </font>
    </dxf>
    <dxf>
      <font>
        <color theme="8" tint="-0.499984740745262"/>
      </font>
    </dxf>
    <dxf>
      <font>
        <color theme="8" tint="-0.499984740745262"/>
      </font>
    </dxf>
    <dxf>
      <font>
        <color theme="8" tint="-0.499984740745262"/>
      </font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fill>
        <patternFill patternType="solid"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font>
        <color theme="8" tint="-0.499984740745262"/>
      </font>
    </dxf>
    <dxf>
      <font>
        <color theme="8" tint="-0.499984740745262"/>
      </font>
    </dxf>
    <dxf>
      <font>
        <color theme="8" tint="-0.499984740745262"/>
      </font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border>
        <vertical style="thin">
          <color theme="8" tint="0.59996337778862885"/>
        </vertical>
        <horizontal style="thin">
          <color theme="8" tint="0.59996337778862885"/>
        </horizontal>
      </border>
    </dxf>
    <dxf>
      <fill>
        <patternFill patternType="solid"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D9F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69056</xdr:colOff>
      <xdr:row>0</xdr:row>
      <xdr:rowOff>35720</xdr:rowOff>
    </xdr:from>
    <xdr:to>
      <xdr:col>4</xdr:col>
      <xdr:colOff>835818</xdr:colOff>
      <xdr:row>7</xdr:row>
      <xdr:rowOff>142876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xhibidor Nombre Comercial">
              <a:extLst>
                <a:ext uri="{FF2B5EF4-FFF2-40B4-BE49-F238E27FC236}">
                  <a16:creationId xmlns:a16="http://schemas.microsoft.com/office/drawing/2014/main" id="{FF44FF34-C3B7-714C-91A6-CEBB201C31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hibidor 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6" y="35720"/>
              <a:ext cx="9952037" cy="1366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</xdr:colOff>
      <xdr:row>0</xdr:row>
      <xdr:rowOff>20956</xdr:rowOff>
    </xdr:from>
    <xdr:to>
      <xdr:col>5</xdr:col>
      <xdr:colOff>4762</xdr:colOff>
      <xdr:row>7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mplejo Departamento">
              <a:extLst>
                <a:ext uri="{FF2B5EF4-FFF2-40B4-BE49-F238E27FC236}">
                  <a16:creationId xmlns:a16="http://schemas.microsoft.com/office/drawing/2014/main" id="{B84A797C-037F-B18E-0FE0-4FEA2B29F7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jo 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4" y="20956"/>
              <a:ext cx="4939666" cy="1331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52864</xdr:colOff>
      <xdr:row>0</xdr:row>
      <xdr:rowOff>36673</xdr:rowOff>
    </xdr:from>
    <xdr:to>
      <xdr:col>12</xdr:col>
      <xdr:colOff>533664</xdr:colOff>
      <xdr:row>8</xdr:row>
      <xdr:rowOff>11906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mplejo Municipio">
              <a:extLst>
                <a:ext uri="{FF2B5EF4-FFF2-40B4-BE49-F238E27FC236}">
                  <a16:creationId xmlns:a16="http://schemas.microsoft.com/office/drawing/2014/main" id="{649BBEBB-8F9C-8A84-C898-A277D3D073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jo Municip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01739" y="36673"/>
              <a:ext cx="7055167" cy="14039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Quiroga" refreshedDate="46174.853166435183" createdVersion="8" refreshedVersion="8" minRefreshableVersion="3" recordCount="269" xr:uid="{847E0006-1130-448E-88EA-842FD76A2BE6}">
  <cacheSource type="worksheet">
    <worksheetSource name="Tabla1"/>
  </cacheSource>
  <cacheFields count="8">
    <cacheField name="EXHIBIDOR" numFmtId="0">
      <sharedItems/>
    </cacheField>
    <cacheField name="Exhibidor Nombre Comercial" numFmtId="0">
      <sharedItems count="78">
        <s v="All Cine"/>
        <s v="Cinema Paraíso"/>
        <s v="CONFA"/>
        <s v="Cine Leonelda"/>
        <s v="Cine en Cámara"/>
        <s v="Uniplaza / Cinema pitalito"/>
        <s v="Colombo Americano De Medellin"/>
        <s v="Cine Colombia"/>
        <s v="Teatro Cecilia"/>
        <s v="Clandestino Restaurante"/>
        <s v="Coocine"/>
        <s v="Maloka"/>
        <s v="Mamm"/>
        <s v="Cinemateca La Tertulia"/>
        <s v="Multicine Espinal"/>
        <s v="Cinemateca Del Caribe"/>
        <s v="Cinema Local"/>
        <s v="Cine En Las Montañas"/>
        <s v="Redespiral"/>
        <s v="Cinemateca De Bogotá"/>
        <s v="Megacine"/>
        <s v="Royal Films"/>
        <s v="Cines3"/>
        <s v="Cinemagic"/>
        <s v="Titan Films"/>
        <s v="Marea Produciiones"/>
        <s v="Teatro Esmeralda Pussycat_x000a_XXX"/>
        <s v="El Banco"/>
        <s v="Procinal"/>
        <s v="Cinelandia"/>
        <s v="Cinema Rio Cerete"/>
        <s v="Cinemania"/>
        <s v="Cinemark"/>
        <s v="Cines El Eden / Viziona"/>
        <s v="Cineprox"/>
        <s v="Multiplex San Gil Plaza"/>
        <s v="Izi Movie"/>
        <s v="Golden Cinemas Fundacion"/>
        <s v="Golden Cinemas"/>
        <s v="Cinebar El Faro"/>
        <s v="Cine Hollywood"/>
        <s v="Villacentro"/>
        <s v="Cineland"/>
        <s v="Cinepro"/>
        <s v="Marines Films"/>
        <s v="Cinepolis"/>
        <s v="Cine Prox"/>
        <s v="Stark Cinemas Aguazul"/>
        <s v="Stark Cinemas Aguachica"/>
        <s v="Cinemas Santiago"/>
        <s v="Trama"/>
        <s v="V.O. Cines"/>
        <s v="Casa Del Cine"/>
        <s v="Comfama"/>
        <s v="Cine World"/>
        <s v="Infinity Films"/>
        <s v="Cine Premier Gaitàn"/>
        <s v="Cine Maax Barbosa"/>
        <s v="Ecocines La Union"/>
        <s v="Cinemateca de Tunja"/>
        <s v="Cinemas Valle De Atriz"/>
        <s v="Cinema Films"/>
        <s v="Cinema Villeta C"/>
        <s v="Sinfonia_x000a_XXX"/>
        <s v="Cinépico"/>
        <s v="Libano Estelar"/>
        <s v="Dorada Plaza_x000a_Golden Cinemas"/>
        <s v="Los Helechos "/>
        <s v="Celeste Plaza"/>
        <s v="Supercines"/>
        <s v="Normandia CineFamily"/>
        <s v="Cine&amp;Café"/>
        <s v="Cinema Sahagun"/>
        <s v="Cinemas Los Angeles"/>
        <s v="Golden Garagoa"/>
        <s v="Los Andes"/>
        <s v="Stark Cinemas" u="1"/>
        <s v="Los Helechos" u="1"/>
      </sharedItems>
    </cacheField>
    <cacheField name="Complejo Nombre" numFmtId="0">
      <sharedItems count="311">
        <s v="All Cine Manizales"/>
        <s v="All Cine San Sebastián de Mariquita"/>
        <s v="Cinema Paraíso"/>
        <s v="Auditorio Hernando Aristizábal Botero"/>
        <s v="Cine Leonelda"/>
        <s v="Cine en Cámara"/>
        <s v="Cinemas Uniplaza"/>
        <s v="Centro Colombo Americano de Medellin"/>
        <s v="Multiplex Andino"/>
        <s v="Multiplex Avenida Chile"/>
        <s v="Multiplex Portoalegre "/>
        <s v="Multiplex Viva Envigado"/>
        <s v="Multiplex Américas"/>
        <s v="Multiplex  Alamedas del Sinú"/>
        <s v="Multiplex Buenavista"/>
        <s v="Multiplex Avenida Fusagasugá"/>
        <s v="Multiplex Unicentro "/>
        <s v="Multiplex Portal 80"/>
        <s v="Multiplex Centro Mayor"/>
        <s v="Multiplex Titan Plaza"/>
        <s v="Multiplex Santafé Bogotá"/>
        <s v="Multiplex Plaza Central"/>
        <s v="Multiplex Metropolis "/>
        <s v="Multiplex Cedritos "/>
        <s v="Multiplex Centro Chía"/>
        <s v="Multiplex Gran Estación"/>
        <s v="Multiplex Embajador "/>
        <s v="Multiplex Calle 100"/>
        <s v="Multiplex Mercurio"/>
        <s v="Multiplex Galerías"/>
        <s v="Multiplex Chipichape"/>
        <s v="Multiplex Unicali"/>
        <s v="Multiplex Cosmocentro "/>
        <s v="Multiplex Palmetto "/>
        <s v="Multiplex Rio Cauca"/>
        <s v="Multiplex Unicentro Medellin"/>
        <s v="Multiplex Los Molinos "/>
        <s v="Multiplex Oviedo "/>
        <s v="Multiplex Santafé Medellín"/>
        <s v="Multiplex Caribe Plaza"/>
        <s v="Multiplex Paseo de la Castellana"/>
        <s v="Multiplex Cañaveral"/>
        <s v="Multiplex Cabecera"/>
        <s v="Multiplex Cacique"/>
        <s v="Multiplex Delacuesta"/>
        <s v="Multiplex Victoria "/>
        <s v="Multiplex Portal del Quindio "/>
        <s v="Multiplex Fundadores"/>
        <s v="Multiplex La Estación"/>
        <s v="Multiplex Ventura Terreros"/>
        <s v="Multiplex Terra PLaza"/>
        <s v="Multiplex Vizcaya"/>
        <s v="Multiplex Nuestro Bogotá"/>
        <s v="Multiplex Parque Alegra"/>
        <s v="Multiplex Plaza Bocagrande"/>
        <s v="Multiplex Lumina "/>
        <s v="Multiplex Viva Villavicencio"/>
        <s v="Teatro Cecilia Pamplona"/>
        <s v="Teatro Cecilia Pitalito Gran Plaza"/>
        <s v="Teatro Cecilia Unicentro Neiva"/>
        <s v="Clandestino Restaurantes"/>
        <s v="Coocine"/>
        <s v="Corporación Maloka de Ciencia, Tecnología e Innovación "/>
        <s v="Museo de Arte Moderno de Medellín"/>
        <s v="Cinemateca La Tertulia"/>
        <s v="Multicine Espinal"/>
        <s v="Cinemateca del Caribe"/>
        <s v="Cinema Local - San Felipe"/>
        <s v="Cinema Local - Santa Isabel"/>
        <s v="Cinemateca de Salento"/>
        <s v="Cinema Fundadores"/>
        <s v="Cinespiral"/>
        <s v="Cinemateca De Bogotá"/>
        <s v="Cinemateca Bogotá El Tunal"/>
        <s v="Cinemateca Bogotá Fontanar del Rio"/>
        <s v="Megacine"/>
        <s v="Multicines El Poblado S.A.S"/>
        <s v="Multicine Acqua"/>
        <s v="Multicine Bosque Plaza"/>
        <s v="Multicine Campanario"/>
        <s v="Multicine El Progreso"/>
        <s v="Multicine Jardin Plaza Cucuta"/>
        <s v="Multicine La Herradura"/>
        <s v="Multicine Milenio Plaza"/>
        <s v="Multicine Nuestro Cartago"/>
        <s v="Multicine Plaza Arrayanes"/>
        <s v="Multicine San Andresito"/>
        <s v="Multicine Unicentro Girardot"/>
        <s v="Multicine Viva Barranquilla"/>
        <s v="Multicine Unico Yumbo"/>
        <s v="Multicine Jardin Plaza Cali"/>
        <s v="Cinema Metro Centro"/>
        <s v="Multicine Eco Plaza"/>
        <s v="Multicine Portal del Prado"/>
        <s v="Multicine San Francisco"/>
        <s v="Multicine Bolivar Plaza"/>
        <s v="Multicine Unicentro Cucuta"/>
        <s v="Multicine Premium Plaza"/>
        <s v="Multicine Altavista"/>
        <s v="Multicine Simon Bolivar"/>
        <s v="Multicine Plaza Flora"/>
        <s v="Multicine Acropolis"/>
        <s v="Multicine La 14"/>
        <s v="Multicine Buga Plaza"/>
        <s v="Multicine Buenaventura"/>
        <s v="Multicine San Fernando"/>
        <s v="Multicine Unico Cali"/>
        <s v="Multicine Viva Caucasia"/>
        <s v="Multicine Jumbo La 65"/>
        <s v="Multicine Unico Pasto"/>
        <s v="Multicine Nuestro Atlantico"/>
        <s v="Multicine Nuestro Monteria"/>
        <s v="Multicine Casa Blanca"/>
        <s v="Multicine Viva Tunja"/>
        <s v="Multicine Unico Villavicencio"/>
        <s v="Smart Cinemas Tunja"/>
        <s v="Cinemagic"/>
        <s v="Titán Films La Plata"/>
        <s v="Sala de Cine La Perla"/>
        <s v="Teatro Esmeralda Pussycat"/>
        <s v="Cine Gold El Banco"/>
        <s v="Cinemas Bima"/>
        <s v="Cinemas Bulevar Niza"/>
        <s v="Cinemas Centro Suba"/>
        <s v="Cinemas la Plazuela"/>
        <s v="Cinemas Palatino"/>
        <s v="Cinemas Plaza de las Américas"/>
        <s v="Cinemas Salitre Plaza"/>
        <s v="Cinemas Terminal del Sur "/>
        <s v="Cinemas Tintal Plaza"/>
        <s v="Cinemas Tunal"/>
        <s v="Cinemas Unicentro de Occidente"/>
        <s v="Cinemas Unicentro Villavicencio"/>
        <s v="Cinemas Unisur"/>
        <s v="Cinemas Viva Barrancabermeja"/>
        <s v="Cinemas Imax"/>
        <s v="Cinelandia  Multiplex Restrepo"/>
        <s v="Cinelandia Iwoka"/>
        <s v="Cinelandia Multiplex San Gil"/>
        <s v="Cinelandia Multiplex Yopal"/>
        <s v="Cinema Rio"/>
        <s v="Cinemania"/>
        <s v="Cinemark Arkadia"/>
        <s v="Cinemark Atlantis Plaza"/>
        <s v="Cinemark Buenavista Monteria"/>
        <s v="Cinemark Buenavista Santa Marta"/>
        <s v="Cinemark El Tesoro"/>
        <s v="Cinemark Floresta"/>
        <s v="Cinemark Gran Plaza Bosa"/>
        <s v="Cinemark Gran Plaza Ensueño"/>
        <s v="Cinemark Gran Plaza Florencia"/>
        <s v="Cinemark Gran Plaza Ipiales"/>
        <s v="Cinemark Mallplaza"/>
        <s v="Cinemark Megamall"/>
        <s v="Cinemark Micentro"/>
        <s v="Cinemark Multicentro"/>
        <s v="Cinemark Multiplaza La Felicidad"/>
        <s v="Cinemark Pacific Mall"/>
        <s v="Cinemark Parque Arboleda"/>
        <s v="Cinemark Parque Caracoli"/>
        <s v="Cinemark Parque La Colina"/>
        <s v="Cinemark Plaza Imperial"/>
        <s v="Cinemark Unicentro Palmira"/>
        <s v="Cinemark Unicentro Pereira"/>
        <s v="Cinemark Unicentro Yopal "/>
        <s v="Cinemark Ventura Plaza"/>
        <s v="Cinemark Unicentro Pasto"/>
        <s v="Cinemark Gran Plaza Soacha"/>
        <s v="Cinemark Llanogrande"/>
        <s v="Cinemark San Pedro"/>
        <s v="Cinemark Unicentro Armenia"/>
        <s v="Cinemark Gran Plaza del Sol"/>
        <s v="Cinemark Primavera Urbana"/>
        <s v="CINES EL EDEN"/>
        <s v="Cines 3 Valledupar"/>
        <s v="Aves María"/>
        <s v="Cinemas Mayorca"/>
        <s v="Cinemas Parque Fabricato"/>
        <s v="Cinemas Procinal Aventura"/>
        <s v="Cinemas Procinal Central"/>
        <s v="Cinemas Procinal Viva La Ceja"/>
        <s v="Florida Parque"/>
        <s v="San Nicolas"/>
        <s v="Multiplex San Gil Plaza"/>
        <s v="Cines3 San José"/>
        <s v="Izi Movie"/>
        <s v="Golden cinemas Fundacion"/>
        <s v="Golden Cinemas Villaupia"/>
        <s v="Cine Bar El Faro"/>
        <s v="Cine Hollywood"/>
        <s v="Multiplex Villacentro"/>
        <s v="Cineland el Caraño"/>
        <s v="Cineland Mayales"/>
        <s v="Cineland Nuestro Urabá"/>
        <s v="Cineland Plaza 90"/>
        <s v="Cineland Santa Lucia"/>
        <s v="Cinemas Ocean Mall"/>
        <s v="Cinepro la Mesa"/>
        <s v="Marines Films"/>
        <s v="Cinepolis Calima Bogota"/>
        <s v="Cinepolis City Plaza"/>
        <s v="Cinepolis Diver Plaza"/>
        <s v="Cinepolis El Limonar"/>
        <s v="Cinepolis Fontanar"/>
        <s v="Cinepolis Hayuelos"/>
        <s v="Cinepolis Mall Plaza Manizales"/>
        <s v="Cinepolis Megamall Valledupar"/>
        <s v="Cinepolis Plaza Claro"/>
        <s v="Cinepolis San Silvestre"/>
        <s v="Cinepolis VIP Mall Plaza Buenavista"/>
        <s v="Cinemas Las Américas"/>
        <s v="Cinemas Monterrey"/>
        <s v="Cinemas Procinal Carnaval"/>
        <s v="Cinemas Procinal Guacari"/>
        <s v="Plaza del Río"/>
        <s v="Puerta del Norte"/>
        <s v="Stark Cinemas Aguazul"/>
        <s v="Autocine Cinemas Royal Films Nectar Arena"/>
        <s v="Cinemas Royal Films Las Americas"/>
        <s v="Cinemas Royal Films Paseo Villa Del Rio"/>
        <s v="Multicine La Estación de Cali"/>
        <s v="Multicine San Juan Plaza"/>
        <s v="Multicine Unicentro Valledupar"/>
        <s v="Multicine Único Barranquilla"/>
        <s v="Multicine Viva Wajiira"/>
        <s v="Multicines Único Neiva"/>
        <s v="Royal Films Paseo San Rafael"/>
        <s v="Stark Cinemas Aguachica"/>
        <s v="Cinemas Santiago"/>
        <s v="Cinemas Santiago Zarzal"/>
        <s v="Sala VIP BZ"/>
        <s v="Cinemas la Casona"/>
        <s v="Cinemas Pasaje Solano"/>
        <s v="Cinemas El Portico"/>
        <s v="Cinemas Innovo Plaza"/>
        <s v="Multiplex Calera Gardens"/>
        <s v="Leteo - Casa Del Cine"/>
        <s v="Leteo Casa Del Cine Teatro"/>
        <s v="Leteo Casa Del Cine. Sala Agua De Dios"/>
        <s v="Capilla Comfama"/>
        <s v="Teatro Comfama"/>
        <s v="Parque cultural y ambiental Otraparte - Biblioteca Casa Museo"/>
        <s v="Cine World MR"/>
        <s v="Infinity Films"/>
        <s v="Cine Premier Gaitan"/>
        <s v="Cine Maax Barbosa"/>
        <s v="Ecocines La Union"/>
        <s v="Cinemateca de Tunja"/>
        <s v="Valle de Atriz"/>
        <s v="Cinema Films Magangue"/>
        <s v="Cinema Villeta C"/>
        <s v="Teatro Sinfonia"/>
        <s v="Cinepico"/>
        <s v="Cinema Estelar Libano"/>
        <s v="Cinema Digital La Dorada"/>
        <s v="Golden Cinemas La Dorada"/>
        <s v="Golden Cinemas Rodadero"/>
        <s v="Cinema Los Helechos Cafam"/>
        <s v="Cinema los Helechos Centro"/>
        <s v="Celeste Cinema Acacías"/>
        <s v="Celeste Cinema Restaurante Granada"/>
        <s v="Supercines Montelibano"/>
        <s v="Normandia Cine Family Puerto Asis"/>
        <s v="Normandia Cine Family Mocoa"/>
        <s v="Cine&amp;Cafe G.I."/>
        <s v="Cinema Sahagun"/>
        <s v="Cinema Los Ángeles"/>
        <s v="Golden Cinemas Garagoa"/>
        <s v="Cinema Los Andes"/>
        <s v="Multiplex Cedritos" u="1"/>
        <s v="Multiplex Cosmocentro" u="1"/>
        <s v="Multiplex Embajador" u="1"/>
        <s v="Multiplex Los Molinos" u="1"/>
        <s v="Multiplex Lumina" u="1"/>
        <s v="Multiplex Metropolis" u="1"/>
        <s v="Multiplex Oviedo" u="1"/>
        <s v="Multiplex Palmetto" u="1"/>
        <s v="Multiplex Portal del Quindio" u="1"/>
        <s v="Multiplex Portoalegre" u="1"/>
        <s v="Multiplex Unicentro" u="1"/>
        <s v="Multiplex Victoria" u="1"/>
        <s v="Cinemas Terminal del Sur" u="1"/>
        <s v="Cinemas Viva Fontibon" u="1"/>
        <s v="Cinemark Unicentro Yopal" u="1"/>
        <s v="Corporación Maloka de Ciencia, Tecnología e Innovación" u="1"/>
        <s v="Cinemas Acropolis" u="1"/>
        <s v="Cinemas Metrocentro" u="1"/>
        <s v="Cinemas Royal Films Altavista" u="1"/>
        <s v="Cinemas Royal Films Milenio Plaza" u="1"/>
        <s v="Multicine Jardín Plaza" u="1"/>
        <s v="Multicine Premiun Plaza" u="1"/>
        <s v="Multicine Royal Films Nuestro Monteria" u="1"/>
        <s v="Multicine Royal Films Único Villavicencio" u="1"/>
        <s v="Multicine Royal Films Viva Tunja" u="1"/>
        <s v="Multicine Único Pasto" u="1"/>
        <s v="Multicines Bolívar Plaza" u="1"/>
        <s v="Multicines Carrefour" u="1"/>
        <s v="Multicines Portal del Prado" u="1"/>
        <s v="Multicines San Francisco" u="1"/>
        <s v="Multicines Unicentro" u="1"/>
        <s v="Royal Films Buenaventura" u="1"/>
        <s v="Royal Films Buga Plaza" u="1"/>
        <s v="Royal Films Calima" u="1"/>
        <s v="Royal Films Casa Blanca" u="1"/>
        <s v="Royal Films Caucasia" u="1"/>
        <s v="Royal Films La 14" u="1"/>
        <s v="Royal Films Mosquera" u="1"/>
        <s v="Royal Films Nuestro Atlántico" u="1"/>
        <s v="Royal Films San Fernando" u="1"/>
        <s v="Royal Films Simón Bolívar" u="1"/>
        <s v="Royal Films Único" u="1"/>
      </sharedItems>
    </cacheField>
    <cacheField name="Complejo Departamento" numFmtId="0">
      <sharedItems count="29">
        <s v="CALDAS"/>
        <s v="TOLIMA"/>
        <s v="BOGOTA. D.C."/>
        <s v="NORTE DE SANTANDER"/>
        <s v="RISARALDA "/>
        <s v="HUILA"/>
        <s v="ANTIOQUIA"/>
        <s v="CORDOBA"/>
        <s v="ATLANTICO"/>
        <s v="CUNDINAMARCA"/>
        <s v="VALLE DEL CAUCA"/>
        <s v="BOLIVAR"/>
        <s v="SANTANDER"/>
        <s v="QUINDIO"/>
        <s v="CAUCA"/>
        <s v="META"/>
        <s v="BOYACA"/>
        <s v="SUCRE"/>
        <s v="NARIÑO"/>
        <s v="MAGDALENA"/>
        <s v="CASANARE"/>
        <s v="CAQUETÁ"/>
        <s v="CESAR"/>
        <s v="GUAVIARE"/>
        <s v="SAN ANDRÉS"/>
        <s v="CHOCO"/>
        <s v="LA GUAJIRA"/>
        <s v="PUTUMAYO"/>
        <s v="RISARALDA" u="1"/>
      </sharedItems>
    </cacheField>
    <cacheField name="Complejo Municipio" numFmtId="0">
      <sharedItems count="100">
        <s v="MANIZALES"/>
        <s v="SAN SEBASTIÁN DE MARIQUITA"/>
        <s v="BOGOTA. D.C."/>
        <s v="OCAÑA"/>
        <s v="PEREIRA"/>
        <s v="PITALITO"/>
        <s v="MEDELLÍN"/>
        <s v="ENVIGADO"/>
        <s v="MONTERÍA"/>
        <s v="BARRANQUILLA"/>
        <s v="FUSAGASUGÁ"/>
        <s v="CHÍA"/>
        <s v="SOACHA"/>
        <s v="CALI"/>
        <s v="CARTAGENA DE INDIAS"/>
        <s v="FLORIDABLANCA"/>
        <s v="BUCARAMANGA"/>
        <s v="PIEDECUESTA"/>
        <s v="ARMENIA"/>
        <s v="IBAGUÉ"/>
        <s v="POPAYÁN"/>
        <s v="VILLAVICENCIO"/>
        <s v="PAMPLONA"/>
        <s v="NEIVA"/>
        <s v="ESPINAL"/>
        <s v="SALENTO"/>
        <s v="CHIQUINQUIRÁ"/>
        <s v="SANTO TOMÁS"/>
        <s v="DOSQUEBRADAS"/>
        <s v="CÚCUTA"/>
        <s v="TULUÁ"/>
        <s v="CARTAGO"/>
        <s v="ITAGÜÍ"/>
        <s v="GIRARDOT"/>
        <s v="YUMBO"/>
        <s v="MOSQUERA"/>
        <s v="SINCELEJO"/>
        <s v="GUADALAJARA DE BUGA"/>
        <s v="BUENAVENTURA"/>
        <s v="CAUCASIA"/>
        <s v="PASTO"/>
        <s v="MADRID"/>
        <s v="TUNJA"/>
        <s v="PACHO"/>
        <s v="LA PLATA"/>
        <s v="TUMACO"/>
        <s v="EL BANCO"/>
        <s v="BARRANCABERMEJA"/>
        <s v="RESTREPO"/>
        <s v="SOGAMOSO"/>
        <s v="SAN GIL"/>
        <s v="YOPAL"/>
        <s v="CERETÉ"/>
        <s v="SANTA MARTA"/>
        <s v="FLORENCIA"/>
        <s v="IPIALES"/>
        <s v="PALMIRA"/>
        <s v="SOLEDAD"/>
        <s v="VALLEDUPAR"/>
        <s v="SABANETA"/>
        <s v="BELLO"/>
        <s v="LA CEJA"/>
        <s v="RIONEGRO"/>
        <s v="SAN JOSÉ DEL GUAVIARE"/>
        <s v="FUNDACIÓN"/>
        <s v="VILLANUEVA"/>
        <s v="SAN ANDRÉS"/>
        <s v="QUIBDO"/>
        <s v="APARTADÓ"/>
        <s v="TURBACO"/>
        <s v="LA MESA"/>
        <s v="AGUAZUL"/>
        <s v="RIOHACHA"/>
        <s v="AGUACHICA"/>
        <s v="ZARZAL"/>
        <s v="ZIPAQUIRÁ"/>
        <s v="DUITAMA"/>
        <s v="FACATATIVÁ"/>
        <s v="LA CALERA"/>
        <s v="AGUA DE DIOS"/>
        <s v="CANDELARIA"/>
        <s v="CHINCHINÁ"/>
        <s v="PUERTO GAITÁN"/>
        <s v="BARBOSA"/>
        <s v="LA UNIÓN"/>
        <s v="MAGANGUÉ"/>
        <s v="VILLETA"/>
        <s v="CHAPARRAL"/>
        <s v="LÍBANO"/>
        <s v="LA DORADA"/>
        <s v="MELGAR"/>
        <s v="ACACÍAS"/>
        <s v="GRANADA"/>
        <s v="MONTELÍBANO"/>
        <s v="PUERTO ASÍS"/>
        <s v="MOCOA"/>
        <s v="PUERTO BOYACÁ"/>
        <s v="SAHAGÚN"/>
        <s v="GARAGOA"/>
        <s v="GARZÓN"/>
      </sharedItems>
    </cacheField>
    <cacheField name="Complejo Dirección" numFmtId="0">
      <sharedItems count="288">
        <s v="CR 23 # 65-11 "/>
        <s v="CL 10 # 4-25"/>
        <s v="CLL 69 #6-20 BRR Emaus Chapinero"/>
        <s v="Crr 25 #50 Esquina"/>
        <s v="CLL 11 #15 - 03"/>
        <s v="CRR 8 #23-09 P 3"/>
        <s v="CL 6 #3-55 P 4"/>
        <s v="CR 45 #53 - 24"/>
        <s v="CR12 #82-02 LC 311-312"/>
        <s v="Cl 72 #10-34 LC 332A"/>
        <s v="CR 58 #137B-01 LC 83"/>
        <s v="CR 48 #32B SUR 139 LC 217"/>
        <s v="CR 71D #4-40 Sur"/>
        <s v="CR 14 #44-25 LC 1-39"/>
        <s v="CR 53 CL 98 ESQ LC300"/>
        <s v="AC 8 #24-82  LC 241"/>
        <s v="AV 15 #124-30 LC 1200"/>
        <s v="CLL 80 #100-52 LC 3 010"/>
        <s v="CL 38A sur #34D-51 LC 3039"/>
        <s v="AV CR 72 # 80 - 94 LC 409"/>
        <s v="CL 185 #45-03 LC 272 "/>
        <s v="CR 65 #11-50 LC 384"/>
        <s v="AV CR 68 #75A-50  LC 371"/>
        <s v="CL150 # 31-56 LC 2147"/>
        <s v="Av Pradilla 900 Este LC 45"/>
        <s v="AV CL 26 # 62-49 LC 335"/>
        <s v="CL 24 #5-86"/>
        <s v="Tv 55 No. 98A-66 LC 331"/>
        <s v="CR 7 #32 - 35 LC NA 220 San Mateo"/>
        <s v="CL 53B # 25-21 LC 2168 "/>
        <s v="Av 6 #37 Norte-25 LC 308"/>
        <s v="CR 100 # 5 - 169 L 190"/>
        <s v="CL 5 # 50 - 103 "/>
        <s v="CR 49 # 9 - 50  LC 200 "/>
        <s v="CL 75A #20-81 PI 2 ZN 2"/>
        <s v="CR 66 B #34 A -76 LC 372"/>
        <s v="CL 30 A #82 A - 26 LC3003"/>
        <s v="CL 6 sur #. 43 - 227 LC 5385 "/>
        <s v="CR 43 A #7 Sur - 170 LC 5178"/>
        <s v="CL 29 #22-108 LC 2-41"/>
        <s v="Av Pedro de Heredia CL 30 #30-31 LC 200"/>
        <s v="CL 30 #25 - 71 P2 LC 250"/>
        <s v="Cr 35 No 48 - 131 "/>
        <s v="Tv Oriental # 90 - 182 Local 401"/>
        <s v="CR 15 # 3 AN - 40 LC 310"/>
        <s v="CL 11 BIS #17-20 P 4"/>
        <s v="Av Bolivar CR 11#19N-46 NV 3 LC 1C"/>
        <s v="CL 33B #20 - 03 LC 352"/>
        <s v="CL 60 #12 - 224 LC 244"/>
        <s v="CR 1A #38 - 89 LC 4 - 16"/>
        <s v="CL 20N #16-10"/>
        <s v="CL 10 #32-115 LC 210"/>
        <s v="AV CR 86 # 63-20 LC L2-045"/>
        <s v="CL 30 #4B-180 LC 241"/>
        <s v="CR 1 #12-118 LC  4-04"/>
        <s v="CL 114 # 6A-92 LC D349/50"/>
        <s v="CL 7 # 45-185 LC L-201"/>
        <s v="Carrera 7 6 - 35 Centro"/>
        <s v="Carrera 1519A- 01 Sur CC Gran Plaza San Antonio"/>
        <s v="CR 8  22 10 Sur CC Unicentro Neiva  LC 2 14 ET 1"/>
        <s v="CL 12 #43B-13 Poblado"/>
        <s v="SANTA ELENA. VRD EL PLAN VÍA LA MORENA DG 5 ESTE # 8-261 CA15"/>
        <s v="CR 68D#24A-51"/>
        <s v="CR 44 #19A-100"/>
        <s v="Av Colombia #5 - 105 Este"/>
        <s v="CR 1 #10-50"/>
        <s v="CL 76 #57-61"/>
        <s v="CL 74 #20B-19"/>
        <s v="CL 4B #38A-66. BRR San Fernando"/>
        <s v="CL 2#4-60"/>
        <s v="Calle 33 24-28"/>
        <s v="CR 23B  70A  99"/>
        <s v="CR 3 #19-10"/>
        <s v="Centro deportivo, recreativo y cultural Parque Metropolitano El Tunal - CL 48 B SUR #23-35"/>
        <s v="Centro de Felicidad Fontanar del Rio - AV CL 145 #138A - 10"/>
        <s v="CR 12 # 16-7 CC Balcones de San José"/>
        <s v="Cl 15 No 11 C - 75 P1 Km 21 Vía Oriental"/>
        <s v="CL 57 AV Guabinal # 60 - 8"/>
        <s v="CL 73 #51D - 71 P 3"/>
        <s v="CR 9 #24 AV 21"/>
        <s v="AV Simon Bolivar CR 16 # 38 - 130"/>
        <s v="AVIAL 13-70 URB San Francisco MZ A LT 1 LC A1"/>
        <s v="CR 19 # 28 - 76"/>
        <s v="CR 86 AV Ciudad de Cali # 42b - 51 sur"/>
        <s v="CL 34 # 2 - 45"/>
        <s v="CR 36 # 46 - 00 LC 308 P 3 CC Plaza Arrayanes"/>
        <s v="CR 18 #59 - 03 P 3 CC San Andresito"/>
        <s v="AV Kennedy con CL 34"/>
        <s v="CR 51 B #87 - 50 LC 408 P 4"/>
        <s v="CL 15 # 5 - 30"/>
        <s v="CR 98 #16 - 200 CC Jardin Plaza"/>
        <s v="CL 45 # 1 - 85 P 2"/>
        <s v="CR 3 # 15 A - 57"/>
        <s v="CL 53 #46 -192"/>
        <s v="CR 25 # 23 - 49 LC 145"/>
        <s v="CR 8 #19 - 27"/>
        <s v="AV Libertadores Canal Bogotá LC 150"/>
        <s v="CL 29 #43-6 LC 3392"/>
        <s v="CR 1 #65 D - 58 Sur"/>
        <s v="CL 70 #28 D - 20"/>
        <s v="CR 6 #3 - 180"/>
        <s v="AV Samanes # 9 - 140"/>
        <s v="CR 40 #37 - 51 "/>
        <s v="CL 4 #23 - 86"/>
        <s v="CL 2 # 66 - 86 LC 209"/>
        <s v="TV 93 ESQ AV Pedro de Heredia CC San Fernando"/>
        <s v="CL 52 #3 - 29"/>
        <s v="CR 20 #28 - 12 P 2"/>
        <s v="CL 47 #65 - 115"/>
        <s v="CL 22 # 6 - 61"/>
        <s v="CL 63 # 13 - 71"/>
        <s v="TV 29 #29 - 69 P 2"/>
        <s v="CL 7 # 1A - 91 LC 94"/>
        <s v="AV Universitaria # 50 - 21 LC 205"/>
        <s v="CR 22 # 8C - 67 BRR Jardin"/>
        <s v="AV Universitaria 39 - 77 LC 1-013 CC Unicentro"/>
        <s v="Cl 7  28-396/398"/>
        <s v="CL 07 # 01 - 58 BRR La Pola"/>
        <s v="CL SOUBLET CA 21B"/>
        <s v="Cr 7 No 23 - 73 "/>
        <s v="CL 7 #9-90"/>
        <s v="AUT NORTE 232-35 LC Procinal"/>
        <s v="AV CR 58 #127-59"/>
        <s v="CL 140 #91-19 LC 15-101"/>
        <s v="DG 31 #71-136 P 2 LC E4"/>
        <s v="CR 7 139-07 LC 319"/>
        <s v="TV 71D #6 - 94 SUR LC 2508/2511"/>
        <s v="CR 68B #24-39"/>
        <s v="CR 65 #8B-91 P2"/>
        <s v="TV 86 #6-37 LC 301"/>
        <s v="CL 47 B #24B-33 SUR LC 2149"/>
        <s v="CR 111c #86-74 Local 2-55"/>
        <s v="AV 40 #26c - 10 LC 2-62"/>
        <s v="CR 3 #29A-02 AUT SUR LC 018"/>
        <s v="CL 50 #10A-41 LC 4-29 y 4-30"/>
        <s v="TV 71D#6-94 Sur"/>
        <s v="Cl 8 Cr 1 Centro Comercial Sun Rise Barrio Centro"/>
        <s v="Cl 30 Cr 28 Centro Comercial Iwoka"/>
        <s v="Centro Comercial el Puente"/>
        <s v="Cll 9 No. 22 - 75Oficina 201"/>
        <s v="CR 10 #11a - 30 P 3"/>
        <s v="CR 14 #93A -85 "/>
        <s v="CR 70 #1-09 LC 465 CC Arkadia"/>
        <s v="CL 81 #13 - 05 LC 501 CC Atlantis Plaza"/>
        <s v="CR 6 #68 - 72 LC 294 CC Buenavista"/>
        <s v="AV Libertador frente a la Quinta de San Pedro Alejandrino LC 34 CC Buenavista"/>
        <s v="TV CR 25A # 1A SUR - 45 CC El Tesoro"/>
        <s v="AV CR 68 #90-88 LC 2064 CC Cafam Floresta"/>
        <s v="CL 65 Sur #78H-51 LC 313 CC Gran Plaza Bosa"/>
        <s v="CL 59C Sur #51-21 LC 201 CC Gran Plaza Ensueño"/>
        <s v="CR 3A BIS # 21A - 14 (DG 22) LC 212L CC Gran Plaza"/>
        <s v="CL 24 # 6B - 60 LC 201 CC Gran Plaza"/>
        <s v="CL 5 #52 - 140 LC 442 CC Mallplaza"/>
        <s v="CR 33A #29 - 15 P3 LC 02 CC Megamall"/>
        <s v="CL 54F Sur #94-18 LC 222 CC Micentro"/>
        <s v="CRR 5A #60 -123 LC 218 CC Multicentro "/>
        <s v="CL 19A #72-57 LC C111 CC Multiplaza"/>
        <s v="CL 36 NORTE #6A - 65 LC 500 CC Pacific Mall"/>
        <s v="AV CRV # 5-20 LC 500 CC Parque Arboleda"/>
        <s v="CR 27 #49-145 LC 502 CC Parque Caracoli"/>
        <s v="CR 58D #146-51 LC 331 CC Parque Colina"/>
        <s v="AV CR 104 #148-07 LC 2471 CC Plaza Imperial"/>
        <s v="CL 42 # 38 - 68 LC 2-32 CC Unicentro"/>
        <s v="AV 30 de Agosto #75 - 51 LC C-16 CC Unicentro"/>
        <s v="CR 29 # 14 -47 LC 220 CC Unicentro"/>
        <s v="CL 10 - 11 DG Santander LC 325 CC Ventura Plaza"/>
        <s v="CL 11 # 34-78 LC 238 CC Unicentro"/>
        <s v="CR 7 #30B-139 LC 3-301 CC Gran Plaza Soacha"/>
        <s v="CL 31 #44 - 239 LC 400 CC Llanogrande"/>
        <s v="CR 8 # 38 - 42 LC 222 CC San Pedro"/>
        <s v="CR 14 # 6 - 02 LC 3-02 CC Unicentro"/>
        <s v="CR 32 #30-152 LC 201 CC Gran Plaza del Sol"/>
        <s v="CR 40 CL 15 ESQ P 3 LC 318 CC Primavera Urbana"/>
        <s v="AV CR 72 #12B - 48"/>
        <s v="Diagonal 10 6N -15 L224 CC Guatapurí Plaza"/>
        <s v="CL 51 Sur #48-57 LC 5571"/>
        <s v="CL 51 #48-57 LC 5571"/>
        <s v="CR 50 #38A-185 LC 4284"/>
        <s v="CR 52 #66-11"/>
        <s v="CL 49 #20-90 LC 6020"/>
        <s v="CR 13 #26B-56 LC 201"/>
        <s v="CL 71 #65-105 LC 2273"/>
        <s v="CL 43 #54 - 39 LC 3373"/>
        <s v="Cr 17 No  35 - 46 Centro Comercial San Gil Plaza"/>
        <s v="Carrera 24 8 Torre Comercial Santa Cruz"/>
        <s v="CR 80 #13A-261 CC Aquarela"/>
        <s v="CL 7 #8-35 Antiguo Teatro Lord "/>
        <s v="CL 10 #7-61 BRR Fundadores"/>
        <s v="Av Colombia No 4 - 31"/>
        <s v="Av 20 de Julio #1-75"/>
        <s v="Av 40 No. 16 B -159 "/>
        <s v="Centro Comercial Aeropuerto El Caraño"/>
        <s v="CL 30 #6 A - 133 LC 10"/>
        <s v="CR 100 KM 1 Vía Apartado Carepa"/>
        <s v="CL 27 #30 esquina Troncal Occidente Brr Country"/>
        <s v="CL 8 CR 50 LC 338"/>
        <s v="AV Ferrocarril con AV. Del Río esquina"/>
        <s v="DG 4 #5-150"/>
        <s v="Calle 9C #19C1-63 El Amparo"/>
        <s v="AV CL 19 #28 - 80 LC C28"/>
        <s v="CL 36D Sur #27A-105 LC 330"/>
        <s v="CR 68 #24B-10 LC 2-18"/>
        <s v="CL 5  #69-03 LC 304"/>
        <s v="Km 2.5 Chía Via Cajicá"/>
        <s v="CL 20 #82  52 LC 256"/>
        <s v="AV Kevin Angel #56B - 02 LC A3000"/>
        <s v="CL 16 #19B - 56 LC 303"/>
        <s v="Cr 68 A No 24 BB - 10 P 2"/>
        <s v="DG 56 #18A - 88 BRR Galán LC 301"/>
        <s v="CR 55 #99 -51 LC A-4001"/>
        <s v="Dg 75 B No. 2 A - 120"/>
        <s v="Cr 48 No. 10 - 45 Local 301/302"/>
        <s v="Cl 30 No  12 - 44 Local 2057"/>
        <s v="CL 28 #25B-97 LC 2 234"/>
        <s v="Carrera 100 103-45 Piso 2 Local 201"/>
        <s v="Dg 55 No. 35 - 217"/>
        <s v="CR18 #13 - 61 BRR Centro"/>
        <s v="VARIANTE ARMENIA KM 1"/>
        <s v="Carrera 71D 6-94 Local 2437 CC Plaza de las Américas "/>
        <s v="Dg 57 C Sur No. 62 60 Lc 404"/>
        <s v="Cr 1 H Cl 36 Y - 38 D"/>
        <s v="Calle 46 No 16 - 200 C.C San Juan Plaza"/>
        <s v="Cr 9 Dg 6 Local 3 - 19"/>
        <s v="Cl 74 No 38 D - 113"/>
        <s v="Cl 15 No 18 - 274 Local 203"/>
        <s v="Cl 64 No 1D - 140 L13"/>
        <s v="Calle 134 55-30 CC Paseo San Rafael"/>
        <s v="CR 11 # 5A - 48"/>
        <s v="CL 14 # 11-19"/>
        <s v="CR 10 CL 18 - 19"/>
        <s v="CL 19 #04 - 56"/>
        <s v="CL 1 # 10 - 04 P 2"/>
        <s v="CL 10 A #12-32 LC Cines P 2"/>
        <s v="CR 5 # 13 - 50 P 2"/>
        <s v="CL 18 # 12 - 53 P 2"/>
        <s v="AV CR  2 # 9A-28 LC 343 ET 2"/>
        <s v="CL 10 #3-75"/>
        <s v="Cl 3 1-51"/>
        <s v="CL 13 #9-50"/>
        <s v="CR 44 #48-18"/>
        <s v="CL 48 #43-87 P 4"/>
        <s v="CL 27 Sur #43A-51, ZN 2"/>
        <s v="LT 5 VDA Veracruz LT De Terreno del MCP de candelaria VDA Cauca Seco"/>
        <s v="CL 10 # 7 - 50 Centro"/>
        <s v="Centro Puerto Gaitan"/>
        <s v="CR 14 CL #11-58 INT.201"/>
        <s v="CL 16 # 3 - 112"/>
        <s v="CL17 # 15-36"/>
        <s v="Av Panamericana No 18A - 94 CC Valle de Atriz Piso 3"/>
        <s v="CLL 16 #10-201 LC 144"/>
        <s v="Cl 4 #5-41"/>
        <s v="Cr 47 No 53 - 29 "/>
        <s v="CL 10 #9-39 BRR Centro"/>
        <s v="Carrera 10 4-30"/>
        <s v="CRA 6 11-39"/>
        <s v="Carrera 4 Calle 15 Centro Comercial Dorada Plaza Local 104"/>
        <s v="Carrera 4 11A - 119 Piso 4 Centro Comercial Arrecife - Rodadero"/>
        <s v="Cr 8 No 15 - 57 Cafam - Melgar"/>
        <s v="Av 5 24-21 Piso 02"/>
        <s v="CR 23 CL 28 Villa del Llano"/>
        <s v="CL 13 #13-35 Centro"/>
        <s v="Carrera 13 13 A 26"/>
        <s v="CR 20 CL 30 ESQ - La Pista"/>
        <s v="CL 14 CR 12 ESQ AV San Francisco"/>
        <s v="CR 5 #12-40"/>
        <s v="Carrera 6 calle 14 Esquina"/>
        <s v="Cl 10 A No. 2 A -  21"/>
        <s v="CL 12 #7-83 "/>
        <s v="Calle 7 9-60"/>
        <s v="CR 23 # 65-11" u="1"/>
        <s v="CL 19 04 56" u="1"/>
        <s v="Cr 35 No 48 - 131" u="1"/>
        <s v="CL 5 # 50 - 103" u="1"/>
        <s v="CL 53B # 25-21 LC 2168" u="1"/>
        <s v="CL 6 sur #. 43 - 227 LC 5385" u="1"/>
        <s v="CR 49 # 9 - 50  LC 200" u="1"/>
        <s v="CL 185 #45-03 LC 272" u="1"/>
        <s v="Cr 7 No 23 - 73" u="1"/>
        <s v="DG 16 #104-51" u="1"/>
        <s v="CR 14 #93A -85" u="1"/>
        <s v="CRR 5A #60 -123 LC 218 CC Multicentro" u="1"/>
        <s v="CL 7 #8-35 Antiguo Teatro Lord" u="1"/>
        <s v="Av 40 No. 16 B -159" u="1"/>
        <s v="CR 98 #16 - 200" u="1"/>
        <s v="CR 40 #37 - 51" u="1"/>
        <s v="Carrera 71D 6-94 Local 2437 CC Plaza de las Américas" u="1"/>
        <s v="Cr 47 No 53 - 29" u="1"/>
        <s v="CL 12 #7-83" u="1"/>
      </sharedItems>
    </cacheField>
    <cacheField name="No Salas" numFmtId="0">
      <sharedItems containsSemiMixedTypes="0" containsString="0" containsNumber="1" containsInteger="1" minValue="1" maxValue="14"/>
    </cacheField>
    <cacheField name="Capacidad Esp" numFmtId="0">
      <sharedItems containsSemiMixedTypes="0" containsString="0" containsNumber="1" containsInteger="1" minValue="12" maxValue="3450"/>
    </cacheField>
  </cacheFields>
  <extLst>
    <ext xmlns:x14="http://schemas.microsoft.com/office/spreadsheetml/2009/9/main" uri="{725AE2AE-9491-48be-B2B4-4EB974FC3084}">
      <x14:pivotCacheDefinition pivotCacheId="10724324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s v="ALL CINE "/>
    <x v="0"/>
    <x v="0"/>
    <x v="0"/>
    <x v="0"/>
    <x v="0"/>
    <n v="4"/>
    <n v="960"/>
  </r>
  <r>
    <s v="ALL CINE "/>
    <x v="0"/>
    <x v="1"/>
    <x v="1"/>
    <x v="1"/>
    <x v="1"/>
    <n v="2"/>
    <n v="248"/>
  </r>
  <r>
    <s v="BABILLA CINE "/>
    <x v="1"/>
    <x v="2"/>
    <x v="2"/>
    <x v="2"/>
    <x v="2"/>
    <n v="2"/>
    <n v="110"/>
  </r>
  <r>
    <s v="CAJA DE COMPENSACIÓN FAMILIAR DE CALDAS - CONFA "/>
    <x v="2"/>
    <x v="3"/>
    <x v="0"/>
    <x v="0"/>
    <x v="3"/>
    <n v="1"/>
    <n v="235"/>
  </r>
  <r>
    <s v="CÁMARA DE COMERCIO DE OCAÑA "/>
    <x v="3"/>
    <x v="4"/>
    <x v="3"/>
    <x v="3"/>
    <x v="4"/>
    <n v="1"/>
    <n v="224"/>
  </r>
  <r>
    <s v="CAMARA DE COMERCIO DE PEREIRA "/>
    <x v="4"/>
    <x v="5"/>
    <x v="4"/>
    <x v="4"/>
    <x v="5"/>
    <n v="1"/>
    <n v="250"/>
  </r>
  <r>
    <s v="CAMPOS SAAB "/>
    <x v="5"/>
    <x v="6"/>
    <x v="5"/>
    <x v="5"/>
    <x v="6"/>
    <n v="3"/>
    <n v="345"/>
  </r>
  <r>
    <s v="CENTRO COLOMBO AMERICANO DE MEDELLÍN "/>
    <x v="6"/>
    <x v="7"/>
    <x v="6"/>
    <x v="6"/>
    <x v="7"/>
    <n v="2"/>
    <n v="280"/>
  </r>
  <r>
    <s v="CINE COLOMBIA "/>
    <x v="7"/>
    <x v="8"/>
    <x v="2"/>
    <x v="2"/>
    <x v="8"/>
    <n v="6"/>
    <n v="862"/>
  </r>
  <r>
    <s v="CINE COLOMBIA "/>
    <x v="7"/>
    <x v="9"/>
    <x v="2"/>
    <x v="2"/>
    <x v="9"/>
    <n v="4"/>
    <n v="503"/>
  </r>
  <r>
    <s v="CINE COLOMBIA "/>
    <x v="7"/>
    <x v="10"/>
    <x v="2"/>
    <x v="2"/>
    <x v="10"/>
    <n v="4"/>
    <n v="678"/>
  </r>
  <r>
    <s v="CINE COLOMBIA "/>
    <x v="7"/>
    <x v="11"/>
    <x v="6"/>
    <x v="7"/>
    <x v="11"/>
    <n v="14"/>
    <n v="2191"/>
  </r>
  <r>
    <s v="CINE COLOMBIA "/>
    <x v="7"/>
    <x v="12"/>
    <x v="2"/>
    <x v="2"/>
    <x v="12"/>
    <n v="12"/>
    <n v="3450"/>
  </r>
  <r>
    <s v="CINE COLOMBIA "/>
    <x v="7"/>
    <x v="13"/>
    <x v="7"/>
    <x v="8"/>
    <x v="13"/>
    <n v="5"/>
    <n v="870"/>
  </r>
  <r>
    <s v="CINE COLOMBIA "/>
    <x v="7"/>
    <x v="14"/>
    <x v="8"/>
    <x v="9"/>
    <x v="14"/>
    <n v="8"/>
    <n v="1614"/>
  </r>
  <r>
    <s v="CINE COLOMBIA "/>
    <x v="7"/>
    <x v="15"/>
    <x v="9"/>
    <x v="10"/>
    <x v="15"/>
    <n v="5"/>
    <n v="948"/>
  </r>
  <r>
    <s v="CINE COLOMBIA "/>
    <x v="7"/>
    <x v="16"/>
    <x v="2"/>
    <x v="2"/>
    <x v="16"/>
    <n v="8"/>
    <n v="1516"/>
  </r>
  <r>
    <s v="CINE COLOMBIA "/>
    <x v="7"/>
    <x v="17"/>
    <x v="2"/>
    <x v="2"/>
    <x v="17"/>
    <n v="12"/>
    <n v="2842"/>
  </r>
  <r>
    <s v="CINE COLOMBIA "/>
    <x v="7"/>
    <x v="18"/>
    <x v="2"/>
    <x v="2"/>
    <x v="18"/>
    <n v="14"/>
    <n v="2774"/>
  </r>
  <r>
    <s v="CINE COLOMBIA "/>
    <x v="7"/>
    <x v="19"/>
    <x v="2"/>
    <x v="2"/>
    <x v="19"/>
    <n v="9"/>
    <n v="1730"/>
  </r>
  <r>
    <s v="CINE COLOMBIA "/>
    <x v="7"/>
    <x v="20"/>
    <x v="2"/>
    <x v="2"/>
    <x v="20"/>
    <n v="10"/>
    <n v="1868"/>
  </r>
  <r>
    <s v="CINE COLOMBIA "/>
    <x v="7"/>
    <x v="21"/>
    <x v="2"/>
    <x v="2"/>
    <x v="21"/>
    <n v="8"/>
    <n v="1682"/>
  </r>
  <r>
    <s v="CINE COLOMBIA "/>
    <x v="7"/>
    <x v="22"/>
    <x v="2"/>
    <x v="2"/>
    <x v="22"/>
    <n v="7"/>
    <n v="1541"/>
  </r>
  <r>
    <s v="CINE COLOMBIA "/>
    <x v="7"/>
    <x v="23"/>
    <x v="2"/>
    <x v="2"/>
    <x v="23"/>
    <n v="6"/>
    <n v="1244"/>
  </r>
  <r>
    <s v="CINE COLOMBIA "/>
    <x v="7"/>
    <x v="24"/>
    <x v="9"/>
    <x v="11"/>
    <x v="24"/>
    <n v="8"/>
    <n v="1186"/>
  </r>
  <r>
    <s v="CINE COLOMBIA "/>
    <x v="7"/>
    <x v="25"/>
    <x v="2"/>
    <x v="2"/>
    <x v="25"/>
    <n v="8"/>
    <n v="1723"/>
  </r>
  <r>
    <s v="CINE COLOMBIA "/>
    <x v="7"/>
    <x v="26"/>
    <x v="2"/>
    <x v="2"/>
    <x v="26"/>
    <n v="6"/>
    <n v="1290"/>
  </r>
  <r>
    <s v="CINE COLOMBIA "/>
    <x v="7"/>
    <x v="27"/>
    <x v="2"/>
    <x v="2"/>
    <x v="27"/>
    <n v="3"/>
    <n v="544"/>
  </r>
  <r>
    <s v="CINE COLOMBIA "/>
    <x v="7"/>
    <x v="28"/>
    <x v="9"/>
    <x v="12"/>
    <x v="28"/>
    <n v="7"/>
    <n v="1443"/>
  </r>
  <r>
    <s v="CINE COLOMBIA "/>
    <x v="7"/>
    <x v="29"/>
    <x v="2"/>
    <x v="2"/>
    <x v="29"/>
    <n v="4"/>
    <n v="422"/>
  </r>
  <r>
    <s v="CINE COLOMBIA "/>
    <x v="7"/>
    <x v="30"/>
    <x v="10"/>
    <x v="13"/>
    <x v="30"/>
    <n v="10"/>
    <n v="1726"/>
  </r>
  <r>
    <s v="CINE COLOMBIA "/>
    <x v="7"/>
    <x v="31"/>
    <x v="10"/>
    <x v="13"/>
    <x v="31"/>
    <n v="12"/>
    <n v="1818"/>
  </r>
  <r>
    <s v="CINE COLOMBIA "/>
    <x v="7"/>
    <x v="32"/>
    <x v="10"/>
    <x v="13"/>
    <x v="32"/>
    <n v="6"/>
    <n v="1153"/>
  </r>
  <r>
    <s v="CINE COLOMBIA "/>
    <x v="7"/>
    <x v="33"/>
    <x v="10"/>
    <x v="13"/>
    <x v="33"/>
    <n v="8"/>
    <n v="1804"/>
  </r>
  <r>
    <s v="CINE COLOMBIA "/>
    <x v="7"/>
    <x v="34"/>
    <x v="10"/>
    <x v="13"/>
    <x v="34"/>
    <n v="5"/>
    <n v="1090"/>
  </r>
  <r>
    <s v="CINE COLOMBIA "/>
    <x v="7"/>
    <x v="35"/>
    <x v="6"/>
    <x v="6"/>
    <x v="35"/>
    <n v="5"/>
    <n v="712"/>
  </r>
  <r>
    <s v="CINE COLOMBIA "/>
    <x v="7"/>
    <x v="36"/>
    <x v="6"/>
    <x v="6"/>
    <x v="36"/>
    <n v="10"/>
    <n v="1622"/>
  </r>
  <r>
    <s v="CINE COLOMBIA "/>
    <x v="7"/>
    <x v="37"/>
    <x v="6"/>
    <x v="6"/>
    <x v="37"/>
    <n v="7"/>
    <n v="1593"/>
  </r>
  <r>
    <s v="CINE COLOMBIA "/>
    <x v="7"/>
    <x v="38"/>
    <x v="6"/>
    <x v="6"/>
    <x v="38"/>
    <n v="6"/>
    <n v="928"/>
  </r>
  <r>
    <s v="CINE COLOMBIA "/>
    <x v="7"/>
    <x v="39"/>
    <x v="11"/>
    <x v="14"/>
    <x v="39"/>
    <n v="6"/>
    <n v="882"/>
  </r>
  <r>
    <s v="CINE COLOMBIA "/>
    <x v="7"/>
    <x v="40"/>
    <x v="11"/>
    <x v="14"/>
    <x v="40"/>
    <n v="4"/>
    <n v="909"/>
  </r>
  <r>
    <s v="CINE COLOMBIA "/>
    <x v="7"/>
    <x v="41"/>
    <x v="12"/>
    <x v="15"/>
    <x v="41"/>
    <n v="3"/>
    <n v="353"/>
  </r>
  <r>
    <s v="CINE COLOMBIA "/>
    <x v="7"/>
    <x v="42"/>
    <x v="12"/>
    <x v="16"/>
    <x v="42"/>
    <n v="4"/>
    <n v="479"/>
  </r>
  <r>
    <s v="CINE COLOMBIA "/>
    <x v="7"/>
    <x v="43"/>
    <x v="12"/>
    <x v="16"/>
    <x v="43"/>
    <n v="12"/>
    <n v="2176"/>
  </r>
  <r>
    <s v="CINE COLOMBIA "/>
    <x v="7"/>
    <x v="44"/>
    <x v="12"/>
    <x v="17"/>
    <x v="44"/>
    <n v="6"/>
    <n v="1163"/>
  </r>
  <r>
    <s v="CINE COLOMBIA "/>
    <x v="7"/>
    <x v="45"/>
    <x v="4"/>
    <x v="4"/>
    <x v="45"/>
    <n v="5"/>
    <n v="990"/>
  </r>
  <r>
    <s v="CINE COLOMBIA "/>
    <x v="7"/>
    <x v="46"/>
    <x v="13"/>
    <x v="18"/>
    <x v="46"/>
    <n v="4"/>
    <n v="848"/>
  </r>
  <r>
    <s v="CINE COLOMBIA "/>
    <x v="7"/>
    <x v="47"/>
    <x v="0"/>
    <x v="0"/>
    <x v="47"/>
    <n v="6"/>
    <n v="1077"/>
  </r>
  <r>
    <s v="CINE COLOMBIA "/>
    <x v="7"/>
    <x v="48"/>
    <x v="1"/>
    <x v="19"/>
    <x v="48"/>
    <n v="6"/>
    <n v="1173"/>
  </r>
  <r>
    <s v="CINE COLOMBIA "/>
    <x v="7"/>
    <x v="49"/>
    <x v="9"/>
    <x v="12"/>
    <x v="49"/>
    <n v="9"/>
    <n v="1764"/>
  </r>
  <r>
    <s v="CINE COLOMBIA "/>
    <x v="7"/>
    <x v="50"/>
    <x v="14"/>
    <x v="20"/>
    <x v="50"/>
    <n v="6"/>
    <n v="1248"/>
  </r>
  <r>
    <s v="CINE COLOMBIA "/>
    <x v="7"/>
    <x v="51"/>
    <x v="6"/>
    <x v="6"/>
    <x v="51"/>
    <n v="6"/>
    <n v="1216"/>
  </r>
  <r>
    <s v="CINE COLOMBIA "/>
    <x v="7"/>
    <x v="52"/>
    <x v="2"/>
    <x v="2"/>
    <x v="52"/>
    <n v="8"/>
    <n v="1398"/>
  </r>
  <r>
    <s v="CINE COLOMBIA "/>
    <x v="7"/>
    <x v="53"/>
    <x v="8"/>
    <x v="9"/>
    <x v="53"/>
    <n v="5"/>
    <n v="836"/>
  </r>
  <r>
    <s v="CINE COLOMBIA "/>
    <x v="7"/>
    <x v="54"/>
    <x v="11"/>
    <x v="14"/>
    <x v="54"/>
    <n v="5"/>
    <n v="658"/>
  </r>
  <r>
    <s v="CINE COLOMBIA "/>
    <x v="7"/>
    <x v="55"/>
    <x v="2"/>
    <x v="2"/>
    <x v="55"/>
    <n v="7"/>
    <n v="670"/>
  </r>
  <r>
    <s v="CINE COLOMBIA "/>
    <x v="7"/>
    <x v="56"/>
    <x v="15"/>
    <x v="21"/>
    <x v="56"/>
    <n v="8"/>
    <n v="1665"/>
  </r>
  <r>
    <s v="CINES Y RESTAURANTES DE COLOMBIA - CYRCO "/>
    <x v="8"/>
    <x v="57"/>
    <x v="3"/>
    <x v="22"/>
    <x v="57"/>
    <n v="4"/>
    <n v="580"/>
  </r>
  <r>
    <s v="CINES Y RESTAURANTES DE COLOMBIA - CYRCO "/>
    <x v="8"/>
    <x v="58"/>
    <x v="5"/>
    <x v="5"/>
    <x v="58"/>
    <n v="4"/>
    <n v="600"/>
  </r>
  <r>
    <s v="CINES Y RESTAURANTES DE COLOMBIA - CYRCO "/>
    <x v="8"/>
    <x v="59"/>
    <x v="5"/>
    <x v="23"/>
    <x v="59"/>
    <n v="4"/>
    <n v="600"/>
  </r>
  <r>
    <s v="CLANDESTINO RESTAURANTES "/>
    <x v="9"/>
    <x v="60"/>
    <x v="6"/>
    <x v="6"/>
    <x v="60"/>
    <n v="1"/>
    <n v="12"/>
  </r>
  <r>
    <s v="COOPERATIVA MULTIACTIVA COOCINE "/>
    <x v="10"/>
    <x v="61"/>
    <x v="6"/>
    <x v="6"/>
    <x v="61"/>
    <n v="1"/>
    <n v="32"/>
  </r>
  <r>
    <s v="CORPORACIÓN MALOKA DE CIENCIA, TECNOLOGÍA E INNOVACIÓN "/>
    <x v="11"/>
    <x v="62"/>
    <x v="2"/>
    <x v="2"/>
    <x v="62"/>
    <n v="2"/>
    <n v="483"/>
  </r>
  <r>
    <s v="CORPORACIÓN MUSEO DE ARTE MODERNO DE MEDELLÍN "/>
    <x v="12"/>
    <x v="63"/>
    <x v="6"/>
    <x v="6"/>
    <x v="63"/>
    <n v="1"/>
    <n v="256"/>
  </r>
  <r>
    <s v="CORPORACIÓN MUSEO LA TERTULIA "/>
    <x v="13"/>
    <x v="64"/>
    <x v="10"/>
    <x v="13"/>
    <x v="64"/>
    <n v="1"/>
    <n v="250"/>
  </r>
  <r>
    <s v="ESPINAL MULTICINE "/>
    <x v="14"/>
    <x v="65"/>
    <x v="1"/>
    <x v="24"/>
    <x v="65"/>
    <n v="4"/>
    <n v="475"/>
  </r>
  <r>
    <s v="FUNDACIÓN CINEMATECA DEL CARIBE "/>
    <x v="15"/>
    <x v="66"/>
    <x v="8"/>
    <x v="9"/>
    <x v="66"/>
    <n v="1"/>
    <n v="70"/>
  </r>
  <r>
    <s v="FUNDACIÓN CULTURAL Y TURÍSTICA DE COLOMBIA "/>
    <x v="16"/>
    <x v="67"/>
    <x v="2"/>
    <x v="2"/>
    <x v="67"/>
    <n v="1"/>
    <n v="105"/>
  </r>
  <r>
    <s v="FUNDACIÓN CULTURAL Y TURÍSTICA DE COLOMBIA "/>
    <x v="16"/>
    <x v="68"/>
    <x v="10"/>
    <x v="13"/>
    <x v="68"/>
    <n v="1"/>
    <n v="108"/>
  </r>
  <r>
    <s v="Fundacion Festival Internacional Cine En Las Montañas "/>
    <x v="17"/>
    <x v="69"/>
    <x v="13"/>
    <x v="25"/>
    <x v="69"/>
    <n v="1"/>
    <n v="50"/>
  </r>
  <r>
    <s v="FUNDACIÓN REDESPIRAL "/>
    <x v="18"/>
    <x v="70"/>
    <x v="0"/>
    <x v="0"/>
    <x v="70"/>
    <n v="2"/>
    <n v="1351"/>
  </r>
  <r>
    <s v="FUNDACIÓN REDESPIRAL "/>
    <x v="18"/>
    <x v="71"/>
    <x v="0"/>
    <x v="0"/>
    <x v="71"/>
    <n v="1"/>
    <n v="40"/>
  </r>
  <r>
    <s v="INSTITUTO DISTRITAL DE LAS ARTES - IDARTES "/>
    <x v="19"/>
    <x v="72"/>
    <x v="2"/>
    <x v="2"/>
    <x v="72"/>
    <n v="3"/>
    <n v="421"/>
  </r>
  <r>
    <s v="INSTITUTO DISTRITAL DE LAS ARTES - IDARTES "/>
    <x v="19"/>
    <x v="73"/>
    <x v="2"/>
    <x v="2"/>
    <x v="73"/>
    <n v="1"/>
    <n v="95"/>
  </r>
  <r>
    <s v="INSTITUTO DISTRITAL DE LAS ARTES - IDARTES "/>
    <x v="19"/>
    <x v="74"/>
    <x v="2"/>
    <x v="2"/>
    <x v="74"/>
    <n v="1"/>
    <n v="100"/>
  </r>
  <r>
    <s v="MEGACINE "/>
    <x v="20"/>
    <x v="75"/>
    <x v="16"/>
    <x v="26"/>
    <x v="75"/>
    <n v="1"/>
    <n v="138"/>
  </r>
  <r>
    <s v="MULTICINES EL POBLADO "/>
    <x v="21"/>
    <x v="76"/>
    <x v="8"/>
    <x v="27"/>
    <x v="76"/>
    <n v="3"/>
    <n v="540"/>
  </r>
  <r>
    <s v="ROYAL FILMS "/>
    <x v="21"/>
    <x v="77"/>
    <x v="1"/>
    <x v="19"/>
    <x v="77"/>
    <n v="6"/>
    <n v="867"/>
  </r>
  <r>
    <s v="ROYAL FILMS "/>
    <x v="21"/>
    <x v="78"/>
    <x v="6"/>
    <x v="6"/>
    <x v="78"/>
    <n v="6"/>
    <n v="1160"/>
  </r>
  <r>
    <s v="ROYAL FILMS "/>
    <x v="21"/>
    <x v="79"/>
    <x v="14"/>
    <x v="20"/>
    <x v="79"/>
    <n v="4"/>
    <n v="529"/>
  </r>
  <r>
    <s v="ROYAL FILMS "/>
    <x v="21"/>
    <x v="80"/>
    <x v="4"/>
    <x v="28"/>
    <x v="80"/>
    <n v="5"/>
    <n v="827"/>
  </r>
  <r>
    <s v="ROYAL FILMS "/>
    <x v="21"/>
    <x v="81"/>
    <x v="3"/>
    <x v="29"/>
    <x v="81"/>
    <n v="6"/>
    <n v="1238"/>
  </r>
  <r>
    <s v="ROYAL FILMS "/>
    <x v="21"/>
    <x v="82"/>
    <x v="10"/>
    <x v="30"/>
    <x v="82"/>
    <n v="4"/>
    <n v="743"/>
  </r>
  <r>
    <s v="ROYAL FILMS "/>
    <x v="21"/>
    <x v="83"/>
    <x v="2"/>
    <x v="2"/>
    <x v="83"/>
    <n v="6"/>
    <n v="1282"/>
  </r>
  <r>
    <s v="ROYAL FILMS "/>
    <x v="21"/>
    <x v="84"/>
    <x v="10"/>
    <x v="31"/>
    <x v="84"/>
    <n v="6"/>
    <n v="1021"/>
  </r>
  <r>
    <s v="ROYAL FILMS "/>
    <x v="21"/>
    <x v="85"/>
    <x v="6"/>
    <x v="32"/>
    <x v="85"/>
    <n v="5"/>
    <n v="885"/>
  </r>
  <r>
    <s v="ROYAL FILMS "/>
    <x v="21"/>
    <x v="86"/>
    <x v="13"/>
    <x v="18"/>
    <x v="86"/>
    <n v="4"/>
    <n v="584"/>
  </r>
  <r>
    <s v="ROYAL FILMS "/>
    <x v="21"/>
    <x v="87"/>
    <x v="9"/>
    <x v="33"/>
    <x v="87"/>
    <n v="4"/>
    <n v="769"/>
  </r>
  <r>
    <s v="ROYAL FILMS "/>
    <x v="21"/>
    <x v="88"/>
    <x v="8"/>
    <x v="9"/>
    <x v="88"/>
    <n v="8"/>
    <n v="1387"/>
  </r>
  <r>
    <s v="ROYAL FILMS "/>
    <x v="21"/>
    <x v="89"/>
    <x v="10"/>
    <x v="34"/>
    <x v="89"/>
    <n v="4"/>
    <n v="614"/>
  </r>
  <r>
    <s v="ROYAL FILMS "/>
    <x v="21"/>
    <x v="90"/>
    <x v="10"/>
    <x v="13"/>
    <x v="90"/>
    <n v="8"/>
    <n v="870"/>
  </r>
  <r>
    <s v="ROYAL FILMS "/>
    <x v="21"/>
    <x v="91"/>
    <x v="8"/>
    <x v="9"/>
    <x v="91"/>
    <n v="2"/>
    <n v="303"/>
  </r>
  <r>
    <s v="ROYAL FILMS "/>
    <x v="21"/>
    <x v="92"/>
    <x v="9"/>
    <x v="35"/>
    <x v="92"/>
    <n v="5"/>
    <n v="1273"/>
  </r>
  <r>
    <s v="ROYAL FILMS "/>
    <x v="21"/>
    <x v="93"/>
    <x v="8"/>
    <x v="9"/>
    <x v="93"/>
    <n v="7"/>
    <n v="1212"/>
  </r>
  <r>
    <s v="ROYAL FILMS "/>
    <x v="21"/>
    <x v="94"/>
    <x v="17"/>
    <x v="36"/>
    <x v="94"/>
    <n v="4"/>
    <n v="450"/>
  </r>
  <r>
    <s v="ROYAL FILMS "/>
    <x v="21"/>
    <x v="95"/>
    <x v="4"/>
    <x v="4"/>
    <x v="95"/>
    <n v="4"/>
    <n v="570"/>
  </r>
  <r>
    <s v="ROYAL FILMS "/>
    <x v="21"/>
    <x v="96"/>
    <x v="3"/>
    <x v="29"/>
    <x v="96"/>
    <n v="5"/>
    <n v="631"/>
  </r>
  <r>
    <s v="ROYAL FILMS "/>
    <x v="21"/>
    <x v="97"/>
    <x v="6"/>
    <x v="6"/>
    <x v="97"/>
    <n v="6"/>
    <n v="940"/>
  </r>
  <r>
    <s v="ROYAL FILMS "/>
    <x v="21"/>
    <x v="98"/>
    <x v="2"/>
    <x v="2"/>
    <x v="98"/>
    <n v="6"/>
    <n v="800"/>
  </r>
  <r>
    <s v="ROYAL FILMS "/>
    <x v="21"/>
    <x v="99"/>
    <x v="10"/>
    <x v="13"/>
    <x v="99"/>
    <n v="6"/>
    <n v="675"/>
  </r>
  <r>
    <s v="ROYAL FILMS "/>
    <x v="21"/>
    <x v="100"/>
    <x v="13"/>
    <x v="18"/>
    <x v="100"/>
    <n v="6"/>
    <n v="899"/>
  </r>
  <r>
    <s v="ROYAL FILMS "/>
    <x v="21"/>
    <x v="101"/>
    <x v="12"/>
    <x v="16"/>
    <x v="101"/>
    <n v="3"/>
    <n v="680"/>
  </r>
  <r>
    <s v="ROYAL FILMS "/>
    <x v="21"/>
    <x v="102"/>
    <x v="10"/>
    <x v="30"/>
    <x v="102"/>
    <n v="5"/>
    <n v="781"/>
  </r>
  <r>
    <s v="ROYAL FILMS "/>
    <x v="21"/>
    <x v="103"/>
    <x v="10"/>
    <x v="37"/>
    <x v="103"/>
    <n v="4"/>
    <n v="691"/>
  </r>
  <r>
    <s v="ROYAL FILMS "/>
    <x v="21"/>
    <x v="104"/>
    <x v="10"/>
    <x v="38"/>
    <x v="104"/>
    <n v="4"/>
    <n v="576"/>
  </r>
  <r>
    <s v="ROYAL FILMS "/>
    <x v="21"/>
    <x v="105"/>
    <x v="11"/>
    <x v="14"/>
    <x v="105"/>
    <n v="5"/>
    <n v="688"/>
  </r>
  <r>
    <s v="ROYAL FILMS "/>
    <x v="21"/>
    <x v="106"/>
    <x v="10"/>
    <x v="13"/>
    <x v="106"/>
    <n v="7"/>
    <n v="1371"/>
  </r>
  <r>
    <s v="ROYAL FILMS "/>
    <x v="21"/>
    <x v="107"/>
    <x v="6"/>
    <x v="39"/>
    <x v="107"/>
    <n v="4"/>
    <n v="482"/>
  </r>
  <r>
    <s v="ROYAL FILMS "/>
    <x v="21"/>
    <x v="108"/>
    <x v="6"/>
    <x v="6"/>
    <x v="108"/>
    <n v="6"/>
    <n v="1279"/>
  </r>
  <r>
    <s v="ROYAL FILMS "/>
    <x v="21"/>
    <x v="109"/>
    <x v="18"/>
    <x v="40"/>
    <x v="109"/>
    <n v="4"/>
    <n v="617"/>
  </r>
  <r>
    <s v="ROYAL FILMS "/>
    <x v="21"/>
    <x v="110"/>
    <x v="8"/>
    <x v="9"/>
    <x v="110"/>
    <n v="7"/>
    <n v="1684"/>
  </r>
  <r>
    <s v="ROYAL FILMS "/>
    <x v="21"/>
    <x v="111"/>
    <x v="7"/>
    <x v="8"/>
    <x v="111"/>
    <n v="5"/>
    <n v="1048"/>
  </r>
  <r>
    <s v="ROYAL FILMS "/>
    <x v="21"/>
    <x v="112"/>
    <x v="9"/>
    <x v="41"/>
    <x v="112"/>
    <n v="4"/>
    <n v="697"/>
  </r>
  <r>
    <s v="ROYAL FILMS "/>
    <x v="21"/>
    <x v="113"/>
    <x v="16"/>
    <x v="42"/>
    <x v="113"/>
    <n v="6"/>
    <n v="1148"/>
  </r>
  <r>
    <s v="ROYAL FILMS "/>
    <x v="21"/>
    <x v="114"/>
    <x v="15"/>
    <x v="21"/>
    <x v="114"/>
    <n v="6"/>
    <n v="1082"/>
  </r>
  <r>
    <s v="SMART CINEMAS "/>
    <x v="22"/>
    <x v="115"/>
    <x v="16"/>
    <x v="42"/>
    <x v="115"/>
    <n v="4"/>
    <n v="608"/>
  </r>
  <r>
    <s v="TECNODIVERSION "/>
    <x v="23"/>
    <x v="116"/>
    <x v="9"/>
    <x v="43"/>
    <x v="116"/>
    <n v="2"/>
    <n v="212"/>
  </r>
  <r>
    <s v="TITÁN FILMS "/>
    <x v="24"/>
    <x v="117"/>
    <x v="5"/>
    <x v="44"/>
    <x v="117"/>
    <n v="1"/>
    <n v="178"/>
  </r>
  <r>
    <s v="ASOCIACION MAREA PRODUCCIONES "/>
    <x v="25"/>
    <x v="118"/>
    <x v="18"/>
    <x v="45"/>
    <x v="118"/>
    <n v="1"/>
    <n v="35"/>
  </r>
  <r>
    <s v="CINE ÉXITO "/>
    <x v="26"/>
    <x v="119"/>
    <x v="2"/>
    <x v="2"/>
    <x v="119"/>
    <n v="1"/>
    <n v="450"/>
  </r>
  <r>
    <s v="CINE GOLD "/>
    <x v="27"/>
    <x v="120"/>
    <x v="19"/>
    <x v="46"/>
    <x v="120"/>
    <n v="2"/>
    <n v="240"/>
  </r>
  <r>
    <s v="CINECITY "/>
    <x v="28"/>
    <x v="121"/>
    <x v="2"/>
    <x v="2"/>
    <x v="121"/>
    <n v="10"/>
    <n v="1499"/>
  </r>
  <r>
    <s v="CINECITY "/>
    <x v="28"/>
    <x v="122"/>
    <x v="2"/>
    <x v="2"/>
    <x v="122"/>
    <n v="5"/>
    <n v="554"/>
  </r>
  <r>
    <s v="CINECITY "/>
    <x v="28"/>
    <x v="123"/>
    <x v="2"/>
    <x v="2"/>
    <x v="123"/>
    <n v="2"/>
    <n v="797"/>
  </r>
  <r>
    <s v="CINECITY "/>
    <x v="28"/>
    <x v="124"/>
    <x v="11"/>
    <x v="14"/>
    <x v="124"/>
    <n v="6"/>
    <n v="808"/>
  </r>
  <r>
    <s v="CINECITY "/>
    <x v="28"/>
    <x v="125"/>
    <x v="2"/>
    <x v="2"/>
    <x v="125"/>
    <n v="5"/>
    <n v="616"/>
  </r>
  <r>
    <s v="CINECITY "/>
    <x v="28"/>
    <x v="126"/>
    <x v="2"/>
    <x v="2"/>
    <x v="126"/>
    <n v="8"/>
    <n v="650"/>
  </r>
  <r>
    <s v="CINECITY "/>
    <x v="28"/>
    <x v="127"/>
    <x v="2"/>
    <x v="2"/>
    <x v="127"/>
    <n v="8"/>
    <n v="1076"/>
  </r>
  <r>
    <s v="CINECITY "/>
    <x v="28"/>
    <x v="128"/>
    <x v="6"/>
    <x v="6"/>
    <x v="128"/>
    <n v="3"/>
    <n v="317"/>
  </r>
  <r>
    <s v="CINECITY "/>
    <x v="28"/>
    <x v="129"/>
    <x v="2"/>
    <x v="2"/>
    <x v="129"/>
    <n v="3"/>
    <n v="505"/>
  </r>
  <r>
    <s v="CINECITY "/>
    <x v="28"/>
    <x v="130"/>
    <x v="2"/>
    <x v="2"/>
    <x v="130"/>
    <n v="2"/>
    <n v="760"/>
  </r>
  <r>
    <s v="CINECITY "/>
    <x v="28"/>
    <x v="131"/>
    <x v="2"/>
    <x v="2"/>
    <x v="131"/>
    <n v="6"/>
    <n v="767"/>
  </r>
  <r>
    <s v="CINECITY "/>
    <x v="28"/>
    <x v="132"/>
    <x v="15"/>
    <x v="21"/>
    <x v="132"/>
    <n v="5"/>
    <n v="810"/>
  </r>
  <r>
    <s v="CINECITY "/>
    <x v="28"/>
    <x v="133"/>
    <x v="9"/>
    <x v="12"/>
    <x v="133"/>
    <n v="2"/>
    <n v="500"/>
  </r>
  <r>
    <s v="CINECITY "/>
    <x v="28"/>
    <x v="134"/>
    <x v="12"/>
    <x v="47"/>
    <x v="134"/>
    <n v="4"/>
    <n v="576"/>
  </r>
  <r>
    <s v="CINECITY "/>
    <x v="28"/>
    <x v="135"/>
    <x v="2"/>
    <x v="2"/>
    <x v="135"/>
    <n v="1"/>
    <n v="606"/>
  </r>
  <r>
    <s v="CINELANDIA MULTIPLEX "/>
    <x v="29"/>
    <x v="136"/>
    <x v="15"/>
    <x v="48"/>
    <x v="136"/>
    <n v="3"/>
    <n v="370"/>
  </r>
  <r>
    <s v="CINELANDIA MULTIPLEX "/>
    <x v="29"/>
    <x v="137"/>
    <x v="16"/>
    <x v="49"/>
    <x v="137"/>
    <n v="3"/>
    <n v="396"/>
  </r>
  <r>
    <s v="CINELANDIA MULTIPLEX "/>
    <x v="29"/>
    <x v="138"/>
    <x v="12"/>
    <x v="50"/>
    <x v="138"/>
    <n v="4"/>
    <n v="710"/>
  </r>
  <r>
    <s v="CINELANDIA MULTIPLEX "/>
    <x v="29"/>
    <x v="139"/>
    <x v="20"/>
    <x v="51"/>
    <x v="139"/>
    <n v="3"/>
    <n v="580"/>
  </r>
  <r>
    <s v="CINEMA RIO "/>
    <x v="30"/>
    <x v="140"/>
    <x v="7"/>
    <x v="52"/>
    <x v="140"/>
    <n v="1"/>
    <n v="110"/>
  </r>
  <r>
    <s v="CINEMANÍA "/>
    <x v="31"/>
    <x v="141"/>
    <x v="2"/>
    <x v="2"/>
    <x v="141"/>
    <n v="4"/>
    <n v="320"/>
  </r>
  <r>
    <s v="CINEMARK COLOMBIA "/>
    <x v="32"/>
    <x v="142"/>
    <x v="6"/>
    <x v="6"/>
    <x v="142"/>
    <n v="9"/>
    <n v="1416"/>
  </r>
  <r>
    <s v="CINEMARK COLOMBIA "/>
    <x v="32"/>
    <x v="143"/>
    <x v="2"/>
    <x v="2"/>
    <x v="143"/>
    <n v="6"/>
    <n v="390"/>
  </r>
  <r>
    <s v="CINEMARK COLOMBIA "/>
    <x v="32"/>
    <x v="144"/>
    <x v="7"/>
    <x v="8"/>
    <x v="144"/>
    <n v="5"/>
    <n v="1257"/>
  </r>
  <r>
    <s v="CINEMARK COLOMBIA "/>
    <x v="32"/>
    <x v="145"/>
    <x v="19"/>
    <x v="53"/>
    <x v="145"/>
    <n v="6"/>
    <n v="1549"/>
  </r>
  <r>
    <s v="CINEMARK COLOMBIA "/>
    <x v="32"/>
    <x v="146"/>
    <x v="6"/>
    <x v="6"/>
    <x v="146"/>
    <n v="10"/>
    <n v="1287"/>
  </r>
  <r>
    <s v="CINEMARK COLOMBIA "/>
    <x v="32"/>
    <x v="147"/>
    <x v="2"/>
    <x v="2"/>
    <x v="147"/>
    <n v="6"/>
    <n v="1581"/>
  </r>
  <r>
    <s v="CINEMARK COLOMBIA "/>
    <x v="32"/>
    <x v="148"/>
    <x v="2"/>
    <x v="2"/>
    <x v="148"/>
    <n v="5"/>
    <n v="1436"/>
  </r>
  <r>
    <s v="CINEMARK COLOMBIA "/>
    <x v="32"/>
    <x v="149"/>
    <x v="2"/>
    <x v="2"/>
    <x v="149"/>
    <n v="9"/>
    <n v="2094"/>
  </r>
  <r>
    <s v="CINEMARK COLOMBIA "/>
    <x v="32"/>
    <x v="150"/>
    <x v="21"/>
    <x v="54"/>
    <x v="150"/>
    <n v="5"/>
    <n v="953"/>
  </r>
  <r>
    <s v="CINEMARK COLOMBIA "/>
    <x v="32"/>
    <x v="151"/>
    <x v="18"/>
    <x v="55"/>
    <x v="151"/>
    <n v="4"/>
    <n v="546"/>
  </r>
  <r>
    <s v="CINEMARK COLOMBIA "/>
    <x v="32"/>
    <x v="152"/>
    <x v="10"/>
    <x v="13"/>
    <x v="152"/>
    <n v="8"/>
    <n v="1349"/>
  </r>
  <r>
    <s v="CINEMARK COLOMBIA "/>
    <x v="32"/>
    <x v="153"/>
    <x v="12"/>
    <x v="16"/>
    <x v="153"/>
    <n v="4"/>
    <n v="783"/>
  </r>
  <r>
    <s v="CINEMARK COLOMBIA "/>
    <x v="32"/>
    <x v="154"/>
    <x v="2"/>
    <x v="2"/>
    <x v="154"/>
    <n v="4"/>
    <n v="702"/>
  </r>
  <r>
    <s v="CINEMARK COLOMBIA "/>
    <x v="32"/>
    <x v="155"/>
    <x v="1"/>
    <x v="19"/>
    <x v="155"/>
    <n v="4"/>
    <n v="1060"/>
  </r>
  <r>
    <s v="CINEMARK COLOMBIA "/>
    <x v="32"/>
    <x v="156"/>
    <x v="2"/>
    <x v="2"/>
    <x v="156"/>
    <n v="8"/>
    <n v="939"/>
  </r>
  <r>
    <s v="CINEMARK COLOMBIA "/>
    <x v="32"/>
    <x v="157"/>
    <x v="10"/>
    <x v="13"/>
    <x v="157"/>
    <n v="6"/>
    <n v="890"/>
  </r>
  <r>
    <s v="CINEMARK COLOMBIA "/>
    <x v="32"/>
    <x v="158"/>
    <x v="4"/>
    <x v="4"/>
    <x v="158"/>
    <n v="7"/>
    <n v="1656"/>
  </r>
  <r>
    <s v="CINEMARK COLOMBIA "/>
    <x v="32"/>
    <x v="159"/>
    <x v="12"/>
    <x v="15"/>
    <x v="159"/>
    <n v="6"/>
    <n v="996"/>
  </r>
  <r>
    <s v="CINEMARK COLOMBIA "/>
    <x v="32"/>
    <x v="160"/>
    <x v="2"/>
    <x v="2"/>
    <x v="160"/>
    <n v="9"/>
    <n v="1191"/>
  </r>
  <r>
    <s v="CINEMARK COLOMBIA "/>
    <x v="32"/>
    <x v="161"/>
    <x v="2"/>
    <x v="2"/>
    <x v="161"/>
    <n v="6"/>
    <n v="1556"/>
  </r>
  <r>
    <s v="CINEMARK COLOMBIA "/>
    <x v="32"/>
    <x v="162"/>
    <x v="10"/>
    <x v="56"/>
    <x v="162"/>
    <n v="4"/>
    <n v="737"/>
  </r>
  <r>
    <s v="CINEMARK COLOMBIA "/>
    <x v="32"/>
    <x v="163"/>
    <x v="4"/>
    <x v="4"/>
    <x v="163"/>
    <n v="4"/>
    <n v="886"/>
  </r>
  <r>
    <s v="CINEMARK COLOMBIA "/>
    <x v="32"/>
    <x v="164"/>
    <x v="20"/>
    <x v="51"/>
    <x v="164"/>
    <n v="4"/>
    <n v="767"/>
  </r>
  <r>
    <s v="CINEMARK COLOMBIA "/>
    <x v="32"/>
    <x v="165"/>
    <x v="3"/>
    <x v="29"/>
    <x v="165"/>
    <n v="6"/>
    <n v="1109"/>
  </r>
  <r>
    <s v="CINEMARK COLOMBIA "/>
    <x v="32"/>
    <x v="166"/>
    <x v="18"/>
    <x v="40"/>
    <x v="166"/>
    <n v="5"/>
    <n v="883"/>
  </r>
  <r>
    <s v="CINEMARK COLOMBIA "/>
    <x v="32"/>
    <x v="167"/>
    <x v="9"/>
    <x v="12"/>
    <x v="167"/>
    <n v="6"/>
    <n v="1212"/>
  </r>
  <r>
    <s v="CINEMARK COLOMBIA "/>
    <x v="32"/>
    <x v="168"/>
    <x v="10"/>
    <x v="56"/>
    <x v="168"/>
    <n v="4"/>
    <n v="994"/>
  </r>
  <r>
    <s v="CINEMARK COLOMBIA "/>
    <x v="32"/>
    <x v="169"/>
    <x v="5"/>
    <x v="23"/>
    <x v="169"/>
    <n v="6"/>
    <n v="1556"/>
  </r>
  <r>
    <s v="CINEMARK COLOMBIA "/>
    <x v="32"/>
    <x v="170"/>
    <x v="13"/>
    <x v="18"/>
    <x v="170"/>
    <n v="6"/>
    <n v="1230"/>
  </r>
  <r>
    <s v="CINEMARK COLOMBIA "/>
    <x v="32"/>
    <x v="171"/>
    <x v="8"/>
    <x v="57"/>
    <x v="171"/>
    <n v="7"/>
    <n v="1344"/>
  </r>
  <r>
    <s v="CINEMARK COLOMBIA "/>
    <x v="32"/>
    <x v="172"/>
    <x v="15"/>
    <x v="21"/>
    <x v="172"/>
    <n v="6"/>
    <n v="772"/>
  </r>
  <r>
    <s v="CINES PREMIER "/>
    <x v="33"/>
    <x v="173"/>
    <x v="2"/>
    <x v="2"/>
    <x v="173"/>
    <n v="9"/>
    <n v="1337"/>
  </r>
  <r>
    <s v="CINES UNIDOS "/>
    <x v="22"/>
    <x v="174"/>
    <x v="22"/>
    <x v="58"/>
    <x v="174"/>
    <n v="4"/>
    <n v="815"/>
  </r>
  <r>
    <s v="COLOMBIANA DE CINES "/>
    <x v="34"/>
    <x v="175"/>
    <x v="6"/>
    <x v="59"/>
    <x v="175"/>
    <n v="5"/>
    <n v="996"/>
  </r>
  <r>
    <s v="COLOMBIANA DE CINES "/>
    <x v="34"/>
    <x v="176"/>
    <x v="6"/>
    <x v="59"/>
    <x v="176"/>
    <n v="9"/>
    <n v="1339"/>
  </r>
  <r>
    <s v="COLOMBIANA DE CINES "/>
    <x v="34"/>
    <x v="177"/>
    <x v="6"/>
    <x v="60"/>
    <x v="177"/>
    <n v="7"/>
    <n v="1164"/>
  </r>
  <r>
    <s v="COLOMBIANA DE CINES "/>
    <x v="34"/>
    <x v="178"/>
    <x v="6"/>
    <x v="6"/>
    <x v="178"/>
    <n v="5"/>
    <n v="917"/>
  </r>
  <r>
    <s v="COLOMBIANA DE CINES "/>
    <x v="34"/>
    <x v="179"/>
    <x v="6"/>
    <x v="6"/>
    <x v="179"/>
    <n v="7"/>
    <n v="1184"/>
  </r>
  <r>
    <s v="COLOMBIANA DE CINES "/>
    <x v="34"/>
    <x v="180"/>
    <x v="6"/>
    <x v="61"/>
    <x v="180"/>
    <n v="4"/>
    <n v="668"/>
  </r>
  <r>
    <s v="COLOMBIANA DE CINES "/>
    <x v="34"/>
    <x v="181"/>
    <x v="6"/>
    <x v="59"/>
    <x v="181"/>
    <n v="7"/>
    <n v="1072"/>
  </r>
  <r>
    <s v="COLOMBIANA DE CINES "/>
    <x v="34"/>
    <x v="182"/>
    <x v="6"/>
    <x v="62"/>
    <x v="182"/>
    <n v="5"/>
    <n v="843"/>
  </r>
  <r>
    <s v="COMERCIALIZADORA IMPROSER  "/>
    <x v="35"/>
    <x v="183"/>
    <x v="12"/>
    <x v="50"/>
    <x v="183"/>
    <n v="2"/>
    <n v="303"/>
  </r>
  <r>
    <s v="ENTERTAINMENT CINEMA CORPORATION "/>
    <x v="22"/>
    <x v="184"/>
    <x v="23"/>
    <x v="63"/>
    <x v="184"/>
    <n v="2"/>
    <n v="259"/>
  </r>
  <r>
    <s v="G &amp; G GOLDEN INVESTMENT "/>
    <x v="36"/>
    <x v="185"/>
    <x v="10"/>
    <x v="13"/>
    <x v="185"/>
    <n v="4"/>
    <n v="519"/>
  </r>
  <r>
    <s v="GOLDEN CINEMAS COLOMBIA "/>
    <x v="37"/>
    <x v="186"/>
    <x v="19"/>
    <x v="64"/>
    <x v="186"/>
    <n v="2"/>
    <n v="227"/>
  </r>
  <r>
    <s v="GOLDEN CINEMAS VILLAUPIA "/>
    <x v="38"/>
    <x v="187"/>
    <x v="20"/>
    <x v="65"/>
    <x v="187"/>
    <n v="1"/>
    <n v="94"/>
  </r>
  <r>
    <s v="HOTEL TIUNA "/>
    <x v="39"/>
    <x v="188"/>
    <x v="24"/>
    <x v="66"/>
    <x v="188"/>
    <n v="1"/>
    <n v="120"/>
  </r>
  <r>
    <s v="IMPORTACIONES MILENIO 2000 "/>
    <x v="40"/>
    <x v="189"/>
    <x v="24"/>
    <x v="66"/>
    <x v="189"/>
    <n v="2"/>
    <n v="374"/>
  </r>
  <r>
    <s v="INVERSIONES  CGS "/>
    <x v="41"/>
    <x v="190"/>
    <x v="15"/>
    <x v="21"/>
    <x v="190"/>
    <n v="3"/>
    <n v="513"/>
  </r>
  <r>
    <s v="INVERSIONES ROFI "/>
    <x v="42"/>
    <x v="191"/>
    <x v="25"/>
    <x v="67"/>
    <x v="191"/>
    <n v="4"/>
    <n v="600"/>
  </r>
  <r>
    <s v="INVERSIONES ROFI "/>
    <x v="42"/>
    <x v="192"/>
    <x v="22"/>
    <x v="58"/>
    <x v="192"/>
    <n v="6"/>
    <n v="1253"/>
  </r>
  <r>
    <s v="INVERSIONES ROFI "/>
    <x v="42"/>
    <x v="193"/>
    <x v="6"/>
    <x v="68"/>
    <x v="193"/>
    <n v="5"/>
    <n v="987"/>
  </r>
  <r>
    <s v="INVERSIONES ROFI "/>
    <x v="42"/>
    <x v="194"/>
    <x v="11"/>
    <x v="69"/>
    <x v="194"/>
    <n v="6"/>
    <n v="1284"/>
  </r>
  <r>
    <s v="INVERSIONES ROFI "/>
    <x v="42"/>
    <x v="195"/>
    <x v="5"/>
    <x v="23"/>
    <x v="195"/>
    <n v="6"/>
    <n v="1140"/>
  </r>
  <r>
    <s v="INVERSIONES ROFI "/>
    <x v="42"/>
    <x v="196"/>
    <x v="19"/>
    <x v="53"/>
    <x v="196"/>
    <n v="4"/>
    <n v="608"/>
  </r>
  <r>
    <s v="LOPEZ &amp; SANCHEZ "/>
    <x v="43"/>
    <x v="197"/>
    <x v="9"/>
    <x v="70"/>
    <x v="197"/>
    <n v="3"/>
    <n v="433"/>
  </r>
  <r>
    <s v="MARINES FILMS "/>
    <x v="44"/>
    <x v="198"/>
    <x v="22"/>
    <x v="58"/>
    <x v="198"/>
    <n v="1"/>
    <n v="60"/>
  </r>
  <r>
    <s v="OPERADORA COLOMBIANA DE CINES "/>
    <x v="45"/>
    <x v="199"/>
    <x v="2"/>
    <x v="2"/>
    <x v="199"/>
    <n v="8"/>
    <n v="1213"/>
  </r>
  <r>
    <s v="OPERADORA COLOMBIANA DE CINES "/>
    <x v="45"/>
    <x v="200"/>
    <x v="6"/>
    <x v="7"/>
    <x v="200"/>
    <n v="6"/>
    <n v="1132"/>
  </r>
  <r>
    <s v="OPERADORA COLOMBIANA DE CINES "/>
    <x v="45"/>
    <x v="201"/>
    <x v="2"/>
    <x v="2"/>
    <x v="201"/>
    <n v="9"/>
    <n v="1353"/>
  </r>
  <r>
    <s v="OPERADORA COLOMBIANA DE CINES "/>
    <x v="45"/>
    <x v="202"/>
    <x v="10"/>
    <x v="13"/>
    <x v="202"/>
    <n v="14"/>
    <n v="2076"/>
  </r>
  <r>
    <s v="OPERADORA COLOMBIANA DE CINES "/>
    <x v="45"/>
    <x v="203"/>
    <x v="9"/>
    <x v="11"/>
    <x v="203"/>
    <n v="11"/>
    <n v="1947"/>
  </r>
  <r>
    <s v="OPERADORA COLOMBIANA DE CINES "/>
    <x v="45"/>
    <x v="204"/>
    <x v="2"/>
    <x v="2"/>
    <x v="204"/>
    <n v="9"/>
    <n v="1551"/>
  </r>
  <r>
    <s v="OPERADORA COLOMBIANA DE CINES "/>
    <x v="45"/>
    <x v="205"/>
    <x v="0"/>
    <x v="0"/>
    <x v="205"/>
    <n v="8"/>
    <n v="1803"/>
  </r>
  <r>
    <s v="OPERADORA COLOMBIANA DE CINES "/>
    <x v="45"/>
    <x v="206"/>
    <x v="22"/>
    <x v="58"/>
    <x v="206"/>
    <n v="5"/>
    <n v="945"/>
  </r>
  <r>
    <s v="OPERADORA COLOMBIANA DE CINES "/>
    <x v="45"/>
    <x v="207"/>
    <x v="2"/>
    <x v="2"/>
    <x v="207"/>
    <n v="7"/>
    <n v="559"/>
  </r>
  <r>
    <s v="OPERADORA COLOMBIANA DE CINES "/>
    <x v="45"/>
    <x v="208"/>
    <x v="12"/>
    <x v="47"/>
    <x v="208"/>
    <n v="6"/>
    <n v="712"/>
  </r>
  <r>
    <s v="OPERADORA COLOMBIANA DE CINES "/>
    <x v="45"/>
    <x v="209"/>
    <x v="8"/>
    <x v="9"/>
    <x v="209"/>
    <n v="5"/>
    <n v="410"/>
  </r>
  <r>
    <s v="PROMOTORA NACIONAL DE CINES "/>
    <x v="46"/>
    <x v="210"/>
    <x v="6"/>
    <x v="6"/>
    <x v="210"/>
    <n v="3"/>
    <n v="237"/>
  </r>
  <r>
    <s v="PROMOTORA NACIONAL DE CINES "/>
    <x v="46"/>
    <x v="211"/>
    <x v="6"/>
    <x v="6"/>
    <x v="211"/>
    <n v="5"/>
    <n v="538"/>
  </r>
  <r>
    <s v="PROMOTORA NACIONAL DE CINES "/>
    <x v="46"/>
    <x v="212"/>
    <x v="8"/>
    <x v="57"/>
    <x v="212"/>
    <n v="6"/>
    <n v="949"/>
  </r>
  <r>
    <s v="PROMOTORA NACIONAL DE CINES "/>
    <x v="46"/>
    <x v="213"/>
    <x v="17"/>
    <x v="36"/>
    <x v="213"/>
    <n v="6"/>
    <n v="813"/>
  </r>
  <r>
    <s v="PROMOTORA NACIONAL DE CINES "/>
    <x v="46"/>
    <x v="214"/>
    <x v="6"/>
    <x v="68"/>
    <x v="214"/>
    <n v="3"/>
    <n v="505"/>
  </r>
  <r>
    <s v="PROMOTORA NACIONAL DE CINES "/>
    <x v="46"/>
    <x v="215"/>
    <x v="6"/>
    <x v="60"/>
    <x v="215"/>
    <n v="4"/>
    <n v="594"/>
  </r>
  <r>
    <s v="ROA &amp; CAMARGO - ZOMAC "/>
    <x v="47"/>
    <x v="216"/>
    <x v="20"/>
    <x v="71"/>
    <x v="216"/>
    <n v="1"/>
    <n v="94"/>
  </r>
  <r>
    <s v="ROYAL ULTRA "/>
    <x v="21"/>
    <x v="217"/>
    <x v="1"/>
    <x v="19"/>
    <x v="217"/>
    <n v="1"/>
    <n v="448"/>
  </r>
  <r>
    <s v="ROYAL ULTRA "/>
    <x v="21"/>
    <x v="218"/>
    <x v="2"/>
    <x v="2"/>
    <x v="218"/>
    <n v="9"/>
    <n v="1184"/>
  </r>
  <r>
    <s v="ROYAL ULTRA "/>
    <x v="21"/>
    <x v="219"/>
    <x v="2"/>
    <x v="2"/>
    <x v="219"/>
    <n v="11"/>
    <n v="2068"/>
  </r>
  <r>
    <s v="ROYAL ULTRA "/>
    <x v="21"/>
    <x v="220"/>
    <x v="10"/>
    <x v="13"/>
    <x v="220"/>
    <n v="7"/>
    <n v="1230"/>
  </r>
  <r>
    <s v="ROYAL ULTRA "/>
    <x v="21"/>
    <x v="221"/>
    <x v="5"/>
    <x v="23"/>
    <x v="221"/>
    <n v="8"/>
    <n v="1498"/>
  </r>
  <r>
    <s v="ROYAL ULTRA "/>
    <x v="21"/>
    <x v="222"/>
    <x v="22"/>
    <x v="58"/>
    <x v="222"/>
    <n v="5"/>
    <n v="541"/>
  </r>
  <r>
    <s v="ROYAL ULTRA "/>
    <x v="21"/>
    <x v="223"/>
    <x v="8"/>
    <x v="9"/>
    <x v="223"/>
    <n v="7"/>
    <n v="1208"/>
  </r>
  <r>
    <s v="ROYAL ULTRA "/>
    <x v="21"/>
    <x v="224"/>
    <x v="26"/>
    <x v="72"/>
    <x v="224"/>
    <n v="6"/>
    <n v="1192"/>
  </r>
  <r>
    <s v="ROYAL ULTRA "/>
    <x v="21"/>
    <x v="225"/>
    <x v="5"/>
    <x v="23"/>
    <x v="225"/>
    <n v="5"/>
    <n v="934"/>
  </r>
  <r>
    <s v="ROYAL ULTRA "/>
    <x v="21"/>
    <x v="226"/>
    <x v="2"/>
    <x v="2"/>
    <x v="226"/>
    <n v="5"/>
    <n v="735"/>
  </r>
  <r>
    <s v="STARK CINEMAS - ZOMAC "/>
    <x v="48"/>
    <x v="227"/>
    <x v="22"/>
    <x v="73"/>
    <x v="227"/>
    <n v="2"/>
    <n v="222"/>
  </r>
  <r>
    <s v="SUPERTIENDAS CAÑAVERAL "/>
    <x v="49"/>
    <x v="228"/>
    <x v="10"/>
    <x v="31"/>
    <x v="228"/>
    <n v="4"/>
    <n v="576"/>
  </r>
  <r>
    <s v="SUPERTIENDAS CAÑAVERAL "/>
    <x v="49"/>
    <x v="229"/>
    <x v="10"/>
    <x v="74"/>
    <x v="229"/>
    <n v="3"/>
    <n v="159"/>
  </r>
  <r>
    <s v="BZ CINE "/>
    <x v="50"/>
    <x v="230"/>
    <x v="2"/>
    <x v="2"/>
    <x v="230"/>
    <n v="1"/>
    <n v="25"/>
  </r>
  <r>
    <s v="V O CINES Y CIA S EN C "/>
    <x v="51"/>
    <x v="231"/>
    <x v="9"/>
    <x v="75"/>
    <x v="231"/>
    <n v="4"/>
    <n v="400"/>
  </r>
  <r>
    <s v="V O CINES Y CIA S EN C "/>
    <x v="51"/>
    <x v="232"/>
    <x v="16"/>
    <x v="76"/>
    <x v="232"/>
    <n v="2"/>
    <n v="222"/>
  </r>
  <r>
    <s v="V O CINES Y CIA S EN C "/>
    <x v="51"/>
    <x v="233"/>
    <x v="9"/>
    <x v="77"/>
    <x v="233"/>
    <n v="3"/>
    <n v="286"/>
  </r>
  <r>
    <s v="V O CINES Y CIA S EN C "/>
    <x v="51"/>
    <x v="234"/>
    <x v="16"/>
    <x v="76"/>
    <x v="234"/>
    <n v="3"/>
    <n v="351"/>
  </r>
  <r>
    <s v="V O CINES Y CIA S EN C "/>
    <x v="51"/>
    <x v="235"/>
    <x v="9"/>
    <x v="78"/>
    <x v="235"/>
    <n v="3"/>
    <n v="266"/>
  </r>
  <r>
    <s v="Asociación Leteo  "/>
    <x v="52"/>
    <x v="236"/>
    <x v="9"/>
    <x v="35"/>
    <x v="236"/>
    <n v="1"/>
    <n v="600"/>
  </r>
  <r>
    <s v="Asociación Leteo  "/>
    <x v="52"/>
    <x v="237"/>
    <x v="9"/>
    <x v="35"/>
    <x v="237"/>
    <n v="1"/>
    <n v="120"/>
  </r>
  <r>
    <s v="Asociación Leteo  "/>
    <x v="52"/>
    <x v="238"/>
    <x v="9"/>
    <x v="79"/>
    <x v="238"/>
    <n v="1"/>
    <n v="120"/>
  </r>
  <r>
    <s v="CAJA DE COMPENSACIÓN FAMILIAR DE ANTIOQUIA COMFAMA "/>
    <x v="53"/>
    <x v="239"/>
    <x v="6"/>
    <x v="6"/>
    <x v="239"/>
    <n v="1"/>
    <n v="75"/>
  </r>
  <r>
    <s v="CAJA DE COMPENSACIÓN FAMILIAR DE ANTIOQUIA COMFAMA "/>
    <x v="53"/>
    <x v="240"/>
    <x v="6"/>
    <x v="6"/>
    <x v="240"/>
    <n v="1"/>
    <n v="289"/>
  </r>
  <r>
    <s v="CAJA DE COMPENSACIÓN FAMILIAR DE ANTIOQUIA COMFAMA "/>
    <x v="53"/>
    <x v="241"/>
    <x v="6"/>
    <x v="7"/>
    <x v="241"/>
    <n v="1"/>
    <n v="208"/>
  </r>
  <r>
    <s v="CINE WORLD MR "/>
    <x v="54"/>
    <x v="242"/>
    <x v="10"/>
    <x v="80"/>
    <x v="242"/>
    <n v="5"/>
    <n v="550"/>
  </r>
  <r>
    <s v="INFINITY FILMS "/>
    <x v="55"/>
    <x v="243"/>
    <x v="0"/>
    <x v="81"/>
    <x v="243"/>
    <n v="1"/>
    <n v="126"/>
  </r>
  <r>
    <s v="PROYECCIONES CINE GAITAN "/>
    <x v="56"/>
    <x v="244"/>
    <x v="15"/>
    <x v="82"/>
    <x v="244"/>
    <n v="2"/>
    <n v="160"/>
  </r>
  <r>
    <s v="CINE MAAX BARBOSA "/>
    <x v="57"/>
    <x v="245"/>
    <x v="6"/>
    <x v="83"/>
    <x v="245"/>
    <n v="1"/>
    <n v="60"/>
  </r>
  <r>
    <s v="ECOCINES "/>
    <x v="58"/>
    <x v="246"/>
    <x v="10"/>
    <x v="84"/>
    <x v="246"/>
    <n v="2"/>
    <n v="153"/>
  </r>
  <r>
    <s v="EL PUERTO MEDIA "/>
    <x v="59"/>
    <x v="247"/>
    <x v="16"/>
    <x v="42"/>
    <x v="247"/>
    <n v="1"/>
    <n v="50"/>
  </r>
  <r>
    <s v="CINEMAS OT "/>
    <x v="60"/>
    <x v="248"/>
    <x v="18"/>
    <x v="40"/>
    <x v="248"/>
    <n v="4"/>
    <n v="1063"/>
  </r>
  <r>
    <s v="Sin Dato -Politica Datos"/>
    <x v="61"/>
    <x v="249"/>
    <x v="11"/>
    <x v="85"/>
    <x v="249"/>
    <n v="2"/>
    <n v="260"/>
  </r>
  <r>
    <s v="Sin Dato -Politica Datos"/>
    <x v="62"/>
    <x v="250"/>
    <x v="9"/>
    <x v="86"/>
    <x v="250"/>
    <n v="1"/>
    <n v="100"/>
  </r>
  <r>
    <s v="Sin Dato -Politica Datos"/>
    <x v="63"/>
    <x v="251"/>
    <x v="6"/>
    <x v="6"/>
    <x v="251"/>
    <n v="1"/>
    <n v="460"/>
  </r>
  <r>
    <s v="Sin Dato -Politica Datos"/>
    <x v="64"/>
    <x v="252"/>
    <x v="1"/>
    <x v="87"/>
    <x v="252"/>
    <n v="1"/>
    <n v="81"/>
  </r>
  <r>
    <s v="Sin Dato -Politica Datos"/>
    <x v="65"/>
    <x v="253"/>
    <x v="1"/>
    <x v="88"/>
    <x v="253"/>
    <n v="1"/>
    <n v="99"/>
  </r>
  <r>
    <s v="Sin Dato -Politica Datos"/>
    <x v="66"/>
    <x v="254"/>
    <x v="0"/>
    <x v="89"/>
    <x v="254"/>
    <n v="1"/>
    <n v="100"/>
  </r>
  <r>
    <s v="Sin Dato -Politica Datos"/>
    <x v="66"/>
    <x v="255"/>
    <x v="0"/>
    <x v="89"/>
    <x v="255"/>
    <n v="1"/>
    <n v="120"/>
  </r>
  <r>
    <s v="Sin Dato -Politica Datos"/>
    <x v="66"/>
    <x v="256"/>
    <x v="19"/>
    <x v="53"/>
    <x v="256"/>
    <n v="4"/>
    <n v="424"/>
  </r>
  <r>
    <s v="Sin Dato -Politica Datos"/>
    <x v="67"/>
    <x v="257"/>
    <x v="1"/>
    <x v="90"/>
    <x v="257"/>
    <n v="2"/>
    <n v="136"/>
  </r>
  <r>
    <s v="Sin Dato -Politica Datos"/>
    <x v="67"/>
    <x v="258"/>
    <x v="1"/>
    <x v="90"/>
    <x v="258"/>
    <n v="1"/>
    <n v="98"/>
  </r>
  <r>
    <s v="Sin Dato -Politica Datos"/>
    <x v="68"/>
    <x v="259"/>
    <x v="15"/>
    <x v="91"/>
    <x v="259"/>
    <n v="2"/>
    <n v="246"/>
  </r>
  <r>
    <s v="Sin Dato -Politica Datos"/>
    <x v="68"/>
    <x v="260"/>
    <x v="15"/>
    <x v="92"/>
    <x v="260"/>
    <n v="2"/>
    <n v="169"/>
  </r>
  <r>
    <s v="Sin Dato -Politica Datos"/>
    <x v="69"/>
    <x v="261"/>
    <x v="7"/>
    <x v="93"/>
    <x v="261"/>
    <n v="1"/>
    <n v="210"/>
  </r>
  <r>
    <s v="Sin Dato -Politica Datos"/>
    <x v="70"/>
    <x v="262"/>
    <x v="27"/>
    <x v="94"/>
    <x v="262"/>
    <n v="2"/>
    <n v="264"/>
  </r>
  <r>
    <s v="Sin Dato -Politica Datos"/>
    <x v="70"/>
    <x v="263"/>
    <x v="27"/>
    <x v="95"/>
    <x v="263"/>
    <n v="2"/>
    <n v="277"/>
  </r>
  <r>
    <s v="Sin Dato -Politica Datos"/>
    <x v="71"/>
    <x v="264"/>
    <x v="16"/>
    <x v="96"/>
    <x v="264"/>
    <n v="2"/>
    <n v="180"/>
  </r>
  <r>
    <s v="Sin Dato -Politica Datos"/>
    <x v="72"/>
    <x v="265"/>
    <x v="7"/>
    <x v="97"/>
    <x v="265"/>
    <n v="1"/>
    <n v="86"/>
  </r>
  <r>
    <s v="Sin Dato -Politica Datos"/>
    <x v="73"/>
    <x v="266"/>
    <x v="9"/>
    <x v="10"/>
    <x v="266"/>
    <n v="2"/>
    <n v="222"/>
  </r>
  <r>
    <s v="Sin Dato -Politica Datos"/>
    <x v="74"/>
    <x v="267"/>
    <x v="16"/>
    <x v="98"/>
    <x v="267"/>
    <n v="1"/>
    <n v="62"/>
  </r>
  <r>
    <s v="Sin Dato -Politica Datos"/>
    <x v="75"/>
    <x v="268"/>
    <x v="5"/>
    <x v="99"/>
    <x v="268"/>
    <n v="2"/>
    <n v="2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A4644-3D86-4489-B757-92D1DA36F302}" name="TablaDinámica2" cacheId="2731" applyNumberFormats="0" applyBorderFormats="0" applyFontFormats="0" applyPatternFormats="0" applyAlignmentFormats="0" applyWidthHeightFormats="1" dataCaption="Valores" updatedVersion="8" minRefreshableVersion="3" rowGrandTotals="0" itemPrintTitles="1" mergeItem="1" createdVersion="8" indent="0" compact="0" compactData="0" multipleFieldFilters="0">
  <location ref="A9:E278" firstHeaderRow="0" firstDataRow="1" firstDataCol="3"/>
  <pivotFields count="8">
    <pivotField compact="0" outline="0" showAll="0" defaultSubtotal="0"/>
    <pivotField compact="0" outline="0" showAll="0" defaultSubtotal="0">
      <items count="78">
        <item x="0"/>
        <item x="7"/>
        <item x="17"/>
        <item x="40"/>
        <item x="3"/>
        <item x="71"/>
        <item x="39"/>
        <item x="42"/>
        <item x="29"/>
        <item x="61"/>
        <item x="16"/>
        <item x="72"/>
        <item x="23"/>
        <item x="31"/>
        <item x="32"/>
        <item x="49"/>
        <item x="60"/>
        <item x="19"/>
        <item x="15"/>
        <item x="13"/>
        <item x="45"/>
        <item x="43"/>
        <item x="22"/>
        <item x="9"/>
        <item x="6"/>
        <item x="53"/>
        <item x="2"/>
        <item x="10"/>
        <item x="38"/>
        <item x="36"/>
        <item x="11"/>
        <item x="44"/>
        <item x="14"/>
        <item x="35"/>
        <item x="28"/>
        <item x="18"/>
        <item x="21"/>
        <item m="1" x="76"/>
        <item x="69"/>
        <item x="8"/>
        <item x="24"/>
        <item x="50"/>
        <item x="1"/>
        <item x="4"/>
        <item x="5"/>
        <item x="58"/>
        <item x="20"/>
        <item x="52"/>
        <item x="26"/>
        <item x="27"/>
        <item x="30"/>
        <item x="33"/>
        <item x="37"/>
        <item x="41"/>
        <item x="34"/>
        <item x="12"/>
        <item x="62"/>
        <item x="63"/>
        <item x="64"/>
        <item x="65"/>
        <item m="1" x="77"/>
        <item x="68"/>
        <item x="70"/>
        <item x="73"/>
        <item x="74"/>
        <item x="75"/>
        <item x="25"/>
        <item x="57"/>
        <item x="54"/>
        <item x="59"/>
        <item x="55"/>
        <item x="56"/>
        <item x="51"/>
        <item x="46"/>
        <item x="47"/>
        <item x="48"/>
        <item x="66"/>
        <item x="67"/>
      </items>
    </pivotField>
    <pivotField axis="axisRow" compact="0" outline="0" subtotalTop="0" showAll="0" defaultSubtotal="0">
      <items count="311">
        <item x="0"/>
        <item x="1"/>
        <item x="3"/>
        <item x="217"/>
        <item x="175"/>
        <item x="239"/>
        <item x="259"/>
        <item x="260"/>
        <item x="7"/>
        <item x="188"/>
        <item x="5"/>
        <item x="120"/>
        <item x="189"/>
        <item x="4"/>
        <item x="264"/>
        <item x="191"/>
        <item x="192"/>
        <item x="193"/>
        <item x="194"/>
        <item x="195"/>
        <item x="136"/>
        <item x="137"/>
        <item x="138"/>
        <item x="139"/>
        <item x="254"/>
        <item x="253"/>
        <item x="249"/>
        <item x="70"/>
        <item x="67"/>
        <item x="268"/>
        <item x="266"/>
        <item x="257"/>
        <item x="258"/>
        <item x="2"/>
        <item x="140"/>
        <item x="265"/>
        <item x="250"/>
        <item x="116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m="1" x="285"/>
        <item x="121"/>
        <item x="122"/>
        <item x="123"/>
        <item x="231"/>
        <item x="124"/>
        <item x="210"/>
        <item x="176"/>
        <item m="1" x="286"/>
        <item x="211"/>
        <item x="125"/>
        <item x="177"/>
        <item x="232"/>
        <item x="126"/>
        <item x="178"/>
        <item x="212"/>
        <item x="179"/>
        <item x="213"/>
        <item x="180"/>
        <item x="218"/>
        <item x="219"/>
        <item x="127"/>
        <item x="228"/>
        <item x="229"/>
        <item x="129"/>
        <item x="130"/>
        <item x="131"/>
        <item x="132"/>
        <item x="6"/>
        <item x="133"/>
        <item x="134"/>
        <item m="1" x="282"/>
        <item x="72"/>
        <item x="69"/>
        <item x="64"/>
        <item x="25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97"/>
        <item x="174"/>
        <item x="173"/>
        <item x="184"/>
        <item x="61"/>
        <item x="246"/>
        <item x="181"/>
        <item x="186"/>
        <item x="267"/>
        <item x="255"/>
        <item x="256"/>
        <item x="187"/>
        <item x="185"/>
        <item x="198"/>
        <item x="77"/>
        <item x="78"/>
        <item x="79"/>
        <item x="80"/>
        <item x="65"/>
        <item m="1" x="289"/>
        <item x="81"/>
        <item x="220"/>
        <item x="82"/>
        <item x="84"/>
        <item x="85"/>
        <item m="1" x="290"/>
        <item m="1" x="291"/>
        <item m="1" x="292"/>
        <item m="1" x="293"/>
        <item x="86"/>
        <item x="221"/>
        <item x="87"/>
        <item x="222"/>
        <item x="223"/>
        <item m="1" x="294"/>
        <item x="88"/>
        <item x="224"/>
        <item m="1" x="296"/>
        <item x="76"/>
        <item m="1" x="297"/>
        <item m="1" x="298"/>
        <item m="1" x="299"/>
        <item x="225"/>
        <item x="8"/>
        <item x="9"/>
        <item x="183"/>
        <item x="190"/>
        <item x="11"/>
        <item x="63"/>
        <item x="262"/>
        <item x="214"/>
        <item x="215"/>
        <item m="1" x="300"/>
        <item m="1" x="301"/>
        <item m="1" x="302"/>
        <item m="1" x="303"/>
        <item m="1" x="304"/>
        <item m="1" x="305"/>
        <item m="1" x="306"/>
        <item m="1" x="307"/>
        <item x="226"/>
        <item m="1" x="308"/>
        <item m="1" x="309"/>
        <item m="1" x="310"/>
        <item x="230"/>
        <item x="182"/>
        <item x="115"/>
        <item x="227"/>
        <item x="216"/>
        <item x="261"/>
        <item x="57"/>
        <item x="58"/>
        <item x="240"/>
        <item x="119"/>
        <item x="251"/>
        <item x="117"/>
        <item x="248"/>
        <item x="14"/>
        <item x="12"/>
        <item x="13"/>
        <item x="15"/>
        <item x="59"/>
        <item x="71"/>
        <item x="75"/>
        <item m="1" x="287"/>
        <item m="1" x="288"/>
        <item x="236"/>
        <item x="237"/>
        <item x="141"/>
        <item m="1" x="278"/>
        <item m="1" x="281"/>
        <item m="1" x="283"/>
        <item m="1" x="284"/>
        <item m="1" x="295"/>
        <item x="238"/>
        <item x="118"/>
        <item x="241"/>
        <item x="42"/>
        <item x="43"/>
        <item x="27"/>
        <item x="41"/>
        <item x="39"/>
        <item m="1" x="269"/>
        <item x="24"/>
        <item x="18"/>
        <item x="30"/>
        <item m="1" x="270"/>
        <item x="44"/>
        <item m="1" x="271"/>
        <item x="47"/>
        <item x="29"/>
        <item x="25"/>
        <item x="48"/>
        <item m="1" x="272"/>
        <item m="1" x="273"/>
        <item x="28"/>
        <item m="1" x="274"/>
        <item x="52"/>
        <item m="1" x="275"/>
        <item m="1" x="276"/>
        <item x="53"/>
        <item x="40"/>
        <item x="54"/>
        <item x="21"/>
        <item x="17"/>
        <item m="1" x="277"/>
        <item x="34"/>
        <item x="20"/>
        <item x="38"/>
        <item x="50"/>
        <item x="19"/>
        <item x="31"/>
        <item m="1" x="279"/>
        <item x="35"/>
        <item x="49"/>
        <item m="1" x="280"/>
        <item x="56"/>
        <item x="51"/>
        <item x="245"/>
        <item x="242"/>
        <item x="135"/>
        <item x="171"/>
        <item x="167"/>
        <item x="168"/>
        <item x="172"/>
        <item x="169"/>
        <item x="170"/>
        <item x="166"/>
        <item x="60"/>
        <item x="247"/>
        <item x="66"/>
        <item x="68"/>
        <item x="243"/>
        <item x="73"/>
        <item x="74"/>
        <item x="196"/>
        <item x="244"/>
        <item x="89"/>
        <item x="233"/>
        <item x="234"/>
        <item x="235"/>
        <item x="263"/>
        <item x="10"/>
        <item x="16"/>
        <item x="22"/>
        <item x="23"/>
        <item x="26"/>
        <item x="32"/>
        <item x="33"/>
        <item x="36"/>
        <item x="37"/>
        <item x="45"/>
        <item x="46"/>
        <item x="55"/>
        <item x="62"/>
        <item x="83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28"/>
        <item x="164"/>
      </items>
    </pivotField>
    <pivotField compact="0" outline="0" subtotalTop="0" showAll="0" defaultSubtotal="0"/>
    <pivotField axis="axisRow" compact="0" outline="0" subtotalTop="0" showAll="0" defaultSubtotal="0">
      <items count="100">
        <item x="91"/>
        <item x="79"/>
        <item x="73"/>
        <item x="71"/>
        <item x="68"/>
        <item x="18"/>
        <item x="47"/>
        <item x="9"/>
        <item x="60"/>
        <item x="2"/>
        <item x="16"/>
        <item x="38"/>
        <item x="13"/>
        <item x="14"/>
        <item x="31"/>
        <item x="39"/>
        <item x="52"/>
        <item x="87"/>
        <item x="11"/>
        <item x="29"/>
        <item x="28"/>
        <item x="76"/>
        <item x="46"/>
        <item x="7"/>
        <item x="24"/>
        <item x="77"/>
        <item x="54"/>
        <item x="15"/>
        <item x="64"/>
        <item x="10"/>
        <item x="98"/>
        <item x="99"/>
        <item x="33"/>
        <item x="92"/>
        <item x="37"/>
        <item x="19"/>
        <item x="55"/>
        <item x="32"/>
        <item x="78"/>
        <item x="61"/>
        <item x="89"/>
        <item x="70"/>
        <item x="44"/>
        <item x="84"/>
        <item x="88"/>
        <item x="41"/>
        <item x="85"/>
        <item x="0"/>
        <item x="6"/>
        <item x="90"/>
        <item x="95"/>
        <item x="93"/>
        <item x="8"/>
        <item x="35"/>
        <item x="23"/>
        <item x="3"/>
        <item x="43"/>
        <item x="56"/>
        <item x="22"/>
        <item x="40"/>
        <item x="4"/>
        <item x="17"/>
        <item x="5"/>
        <item x="20"/>
        <item x="94"/>
        <item x="96"/>
        <item x="67"/>
        <item x="48"/>
        <item x="72"/>
        <item x="62"/>
        <item x="59"/>
        <item x="97"/>
        <item x="25"/>
        <item x="66"/>
        <item x="50"/>
        <item x="63"/>
        <item x="1"/>
        <item x="53"/>
        <item x="27"/>
        <item x="36"/>
        <item x="12"/>
        <item x="49"/>
        <item x="57"/>
        <item x="30"/>
        <item x="45"/>
        <item x="42"/>
        <item x="69"/>
        <item x="58"/>
        <item x="65"/>
        <item x="21"/>
        <item x="86"/>
        <item x="51"/>
        <item x="34"/>
        <item x="74"/>
        <item x="75"/>
        <item x="26"/>
        <item x="83"/>
        <item x="80"/>
        <item x="81"/>
        <item x="82"/>
      </items>
    </pivotField>
    <pivotField axis="axisRow" compact="0" outline="0" subtotalTop="0" showAll="0" defaultSubtotal="0">
      <items count="288">
        <item x="258"/>
        <item x="188"/>
        <item x="248"/>
        <item x="115"/>
        <item x="266"/>
        <item x="76"/>
        <item x="224"/>
        <item x="212"/>
        <item x="225"/>
        <item x="116"/>
        <item x="223"/>
        <item x="139"/>
        <item x="220"/>
        <item x="262"/>
        <item x="211"/>
        <item x="207"/>
        <item x="257"/>
        <item x="222"/>
        <item x="254"/>
        <item x="215"/>
        <item x="210"/>
        <item x="217"/>
        <item x="14"/>
        <item x="8"/>
        <item x="9"/>
        <item x="27"/>
        <item x="12"/>
        <item x="13"/>
        <item x="15"/>
        <item x="59"/>
        <item x="58"/>
        <item x="57"/>
        <item x="62"/>
        <item x="63"/>
        <item x="65"/>
        <item x="67"/>
        <item x="69"/>
        <item x="70"/>
        <item x="71"/>
        <item x="72"/>
        <item x="236"/>
        <item x="237"/>
        <item x="120"/>
        <item x="137"/>
        <item x="136"/>
        <item x="138"/>
        <item x="174"/>
        <item x="177"/>
        <item x="183"/>
        <item x="184"/>
        <item x="187"/>
        <item x="189"/>
        <item x="204"/>
        <item x="214"/>
        <item x="213"/>
        <item x="219"/>
        <item x="226"/>
        <item x="221"/>
        <item m="1" x="270"/>
        <item m="1" x="271"/>
        <item m="1" x="277"/>
        <item m="1" x="279"/>
        <item m="1" x="281"/>
        <item m="1" x="282"/>
        <item m="1" x="285"/>
        <item x="250"/>
        <item m="1" x="286"/>
        <item x="252"/>
        <item x="253"/>
        <item x="255"/>
        <item x="256"/>
        <item x="259"/>
        <item x="260"/>
        <item x="261"/>
        <item x="265"/>
        <item x="268"/>
        <item m="1" x="269"/>
        <item x="1"/>
        <item x="238"/>
        <item x="118"/>
        <item x="2"/>
        <item x="239"/>
        <item x="241"/>
        <item x="240"/>
        <item x="3"/>
        <item x="4"/>
        <item x="5"/>
        <item x="6"/>
        <item x="7"/>
        <item x="43"/>
        <item x="41"/>
        <item x="39"/>
        <item x="23"/>
        <item x="24"/>
        <item x="18"/>
        <item x="30"/>
        <item m="1" x="272"/>
        <item x="44"/>
        <item x="26"/>
        <item x="47"/>
        <item m="1" x="273"/>
        <item x="25"/>
        <item x="48"/>
        <item x="36"/>
        <item x="55"/>
        <item x="28"/>
        <item x="22"/>
        <item x="52"/>
        <item m="1" x="274"/>
        <item m="1" x="275"/>
        <item x="53"/>
        <item x="40"/>
        <item x="54"/>
        <item x="21"/>
        <item x="17"/>
        <item x="46"/>
        <item x="10"/>
        <item x="34"/>
        <item m="1" x="276"/>
        <item x="38"/>
        <item x="50"/>
        <item x="19"/>
        <item x="31"/>
        <item x="16"/>
        <item x="35"/>
        <item x="49"/>
        <item x="45"/>
        <item x="11"/>
        <item x="56"/>
        <item x="51"/>
        <item x="245"/>
        <item x="242"/>
        <item x="121"/>
        <item x="122"/>
        <item x="123"/>
        <item x="135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m="1" x="278"/>
        <item x="140"/>
        <item x="142"/>
        <item x="143"/>
        <item x="144"/>
        <item x="145"/>
        <item x="146"/>
        <item x="147"/>
        <item x="148"/>
        <item x="171"/>
        <item x="149"/>
        <item x="150"/>
        <item x="151"/>
        <item x="167"/>
        <item x="168"/>
        <item x="152"/>
        <item x="153"/>
        <item x="154"/>
        <item m="1" x="280"/>
        <item x="156"/>
        <item x="157"/>
        <item x="158"/>
        <item x="159"/>
        <item x="160"/>
        <item x="161"/>
        <item x="172"/>
        <item x="169"/>
        <item x="170"/>
        <item x="162"/>
        <item x="166"/>
        <item x="163"/>
        <item x="164"/>
        <item x="165"/>
        <item x="173"/>
        <item x="60"/>
        <item x="175"/>
        <item x="176"/>
        <item x="178"/>
        <item x="179"/>
        <item x="180"/>
        <item x="181"/>
        <item x="182"/>
        <item x="61"/>
        <item x="64"/>
        <item x="246"/>
        <item x="247"/>
        <item x="66"/>
        <item x="68"/>
        <item x="185"/>
        <item x="243"/>
        <item x="73"/>
        <item x="74"/>
        <item x="191"/>
        <item x="192"/>
        <item x="193"/>
        <item x="194"/>
        <item x="195"/>
        <item x="196"/>
        <item x="197"/>
        <item x="198"/>
        <item x="75"/>
        <item x="199"/>
        <item x="200"/>
        <item x="201"/>
        <item x="202"/>
        <item x="203"/>
        <item x="205"/>
        <item x="206"/>
        <item x="208"/>
        <item x="209"/>
        <item x="244"/>
        <item x="216"/>
        <item x="101"/>
        <item x="91"/>
        <item x="98"/>
        <item x="83"/>
        <item x="77"/>
        <item x="78"/>
        <item x="79"/>
        <item x="80"/>
        <item m="1" x="283"/>
        <item x="81"/>
        <item x="82"/>
        <item x="84"/>
        <item x="85"/>
        <item x="97"/>
        <item x="111"/>
        <item x="114"/>
        <item x="113"/>
        <item x="86"/>
        <item x="87"/>
        <item x="109"/>
        <item x="89"/>
        <item x="88"/>
        <item x="95"/>
        <item x="108"/>
        <item x="93"/>
        <item x="94"/>
        <item x="96"/>
        <item x="104"/>
        <item x="103"/>
        <item x="100"/>
        <item x="112"/>
        <item x="107"/>
        <item m="1" x="284"/>
        <item x="92"/>
        <item x="110"/>
        <item x="105"/>
        <item x="99"/>
        <item x="106"/>
        <item x="227"/>
        <item x="228"/>
        <item x="229"/>
        <item x="117"/>
        <item x="233"/>
        <item x="234"/>
        <item x="231"/>
        <item x="232"/>
        <item x="235"/>
        <item x="249"/>
        <item x="263"/>
        <item x="264"/>
        <item m="1" x="287"/>
        <item x="0"/>
        <item x="20"/>
        <item x="29"/>
        <item x="32"/>
        <item x="33"/>
        <item x="37"/>
        <item x="42"/>
        <item x="90"/>
        <item x="102"/>
        <item x="119"/>
        <item x="141"/>
        <item x="155"/>
        <item x="186"/>
        <item x="190"/>
        <item x="218"/>
        <item x="230"/>
        <item x="251"/>
        <item x="267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3">
    <field x="4"/>
    <field x="2"/>
    <field x="5"/>
  </rowFields>
  <rowItems count="269">
    <i>
      <x/>
      <x v="6"/>
      <x v="71"/>
    </i>
    <i>
      <x v="1"/>
      <x v="202"/>
      <x v="78"/>
    </i>
    <i>
      <x v="2"/>
      <x v="175"/>
      <x v="257"/>
    </i>
    <i>
      <x v="3"/>
      <x v="176"/>
      <x v="218"/>
    </i>
    <i>
      <x v="4"/>
      <x v="17"/>
      <x v="201"/>
    </i>
    <i r="1">
      <x v="158"/>
      <x v="53"/>
    </i>
    <i>
      <x v="5"/>
      <x v="137"/>
      <x v="236"/>
    </i>
    <i r="1">
      <x v="254"/>
      <x v="174"/>
    </i>
    <i r="1">
      <x v="280"/>
      <x v="115"/>
    </i>
    <i r="1">
      <x v="294"/>
      <x v="248"/>
    </i>
    <i>
      <x v="6"/>
      <x v="91"/>
      <x v="146"/>
    </i>
    <i r="1">
      <x v="106"/>
      <x v="215"/>
    </i>
    <i>
      <x v="7"/>
      <x v="107"/>
      <x v="216"/>
    </i>
    <i r="1">
      <x v="141"/>
      <x v="10"/>
    </i>
    <i r="1">
      <x v="143"/>
      <x v="240"/>
    </i>
    <i r="1">
      <x v="185"/>
      <x v="22"/>
    </i>
    <i r="1">
      <x v="228"/>
      <x v="110"/>
    </i>
    <i r="1">
      <x v="258"/>
      <x v="193"/>
    </i>
    <i r="1">
      <x v="285"/>
      <x v="220"/>
    </i>
    <i r="1">
      <x v="287"/>
      <x v="243"/>
    </i>
    <i r="1">
      <x v="304"/>
      <x v="253"/>
    </i>
    <i>
      <x v="8"/>
      <x v="72"/>
      <x v="47"/>
    </i>
    <i r="1">
      <x v="159"/>
      <x v="19"/>
    </i>
    <i>
      <x v="9"/>
      <x v="28"/>
      <x v="35"/>
    </i>
    <i r="1">
      <x v="33"/>
      <x v="80"/>
    </i>
    <i r="1">
      <x v="39"/>
      <x v="150"/>
    </i>
    <i r="1">
      <x v="43"/>
      <x v="154"/>
    </i>
    <i r="1">
      <x v="44"/>
      <x v="155"/>
    </i>
    <i r="1">
      <x v="45"/>
      <x v="157"/>
    </i>
    <i r="1">
      <x v="50"/>
      <x v="164"/>
    </i>
    <i r="1">
      <x v="52"/>
      <x v="166"/>
    </i>
    <i r="1">
      <x v="56"/>
      <x v="170"/>
    </i>
    <i r="1">
      <x v="57"/>
      <x v="171"/>
    </i>
    <i r="1">
      <x v="62"/>
      <x v="132"/>
    </i>
    <i r="1">
      <x v="63"/>
      <x v="133"/>
    </i>
    <i r="1">
      <x v="64"/>
      <x v="134"/>
    </i>
    <i r="1">
      <x v="71"/>
      <x v="137"/>
    </i>
    <i r="1">
      <x v="74"/>
      <x v="138"/>
    </i>
    <i r="1">
      <x v="80"/>
      <x v="284"/>
    </i>
    <i r="1">
      <x v="81"/>
      <x v="55"/>
    </i>
    <i r="1">
      <x v="82"/>
      <x v="139"/>
    </i>
    <i r="1">
      <x v="85"/>
      <x v="141"/>
    </i>
    <i r="1">
      <x v="86"/>
      <x v="142"/>
    </i>
    <i r="1">
      <x v="87"/>
      <x v="143"/>
    </i>
    <i r="1">
      <x v="93"/>
      <x v="39"/>
    </i>
    <i r="1">
      <x v="97"/>
      <x v="208"/>
    </i>
    <i r="1">
      <x v="99"/>
      <x v="210"/>
    </i>
    <i r="1">
      <x v="102"/>
      <x v="52"/>
    </i>
    <i r="1">
      <x v="105"/>
      <x v="15"/>
    </i>
    <i r="1">
      <x v="110"/>
      <x v="180"/>
    </i>
    <i r="1">
      <x v="151"/>
      <x v="23"/>
    </i>
    <i r="1">
      <x v="152"/>
      <x v="24"/>
    </i>
    <i r="1">
      <x v="168"/>
      <x v="56"/>
    </i>
    <i r="1">
      <x v="172"/>
      <x v="285"/>
    </i>
    <i r="1">
      <x v="181"/>
      <x v="279"/>
    </i>
    <i r="1">
      <x v="186"/>
      <x v="26"/>
    </i>
    <i r="1">
      <x v="196"/>
      <x v="280"/>
    </i>
    <i r="1">
      <x v="207"/>
      <x v="25"/>
    </i>
    <i r="1">
      <x v="212"/>
      <x v="94"/>
    </i>
    <i r="1">
      <x v="218"/>
      <x v="272"/>
    </i>
    <i r="1">
      <x v="219"/>
      <x v="101"/>
    </i>
    <i r="1">
      <x v="225"/>
      <x v="107"/>
    </i>
    <i r="1">
      <x v="231"/>
      <x v="113"/>
    </i>
    <i r="1">
      <x v="232"/>
      <x v="114"/>
    </i>
    <i r="1">
      <x v="235"/>
      <x v="271"/>
    </i>
    <i r="1">
      <x v="238"/>
      <x v="121"/>
    </i>
    <i r="1">
      <x v="248"/>
      <x v="135"/>
    </i>
    <i r="1">
      <x v="261"/>
      <x v="197"/>
    </i>
    <i r="1">
      <x v="262"/>
      <x v="198"/>
    </i>
    <i r="1">
      <x v="270"/>
      <x v="116"/>
    </i>
    <i r="1">
      <x v="271"/>
      <x v="123"/>
    </i>
    <i r="1">
      <x v="272"/>
      <x v="106"/>
    </i>
    <i r="1">
      <x v="273"/>
      <x v="92"/>
    </i>
    <i r="1">
      <x v="274"/>
      <x v="98"/>
    </i>
    <i r="1">
      <x v="281"/>
      <x v="104"/>
    </i>
    <i r="1">
      <x v="282"/>
      <x v="32"/>
    </i>
    <i r="1">
      <x v="283"/>
      <x v="222"/>
    </i>
    <i r="1">
      <x v="292"/>
      <x v="221"/>
    </i>
    <i>
      <x v="10"/>
      <x v="49"/>
      <x v="163"/>
    </i>
    <i r="1">
      <x v="205"/>
      <x v="276"/>
    </i>
    <i r="1">
      <x v="206"/>
      <x v="89"/>
    </i>
    <i r="1">
      <x v="295"/>
      <x v="219"/>
    </i>
    <i>
      <x v="11"/>
      <x v="298"/>
      <x v="246"/>
    </i>
    <i>
      <x v="12"/>
      <x v="48"/>
      <x v="162"/>
    </i>
    <i r="1">
      <x v="53"/>
      <x v="167"/>
    </i>
    <i r="1">
      <x v="95"/>
      <x v="190"/>
    </i>
    <i r="1">
      <x v="100"/>
      <x v="211"/>
    </i>
    <i r="1">
      <x v="120"/>
      <x v="195"/>
    </i>
    <i r="1">
      <x v="129"/>
      <x v="12"/>
    </i>
    <i r="1">
      <x v="213"/>
      <x v="95"/>
    </i>
    <i r="1">
      <x v="234"/>
      <x v="117"/>
    </i>
    <i r="1">
      <x v="239"/>
      <x v="122"/>
    </i>
    <i r="1">
      <x v="259"/>
      <x v="194"/>
    </i>
    <i r="1">
      <x v="275"/>
      <x v="273"/>
    </i>
    <i r="1">
      <x v="276"/>
      <x v="274"/>
    </i>
    <i r="1">
      <x v="284"/>
      <x v="277"/>
    </i>
    <i r="1">
      <x v="293"/>
      <x v="255"/>
    </i>
    <i r="1">
      <x v="300"/>
      <x v="256"/>
    </i>
    <i>
      <x v="13"/>
      <x v="66"/>
      <x v="136"/>
    </i>
    <i r="1">
      <x v="209"/>
      <x v="91"/>
    </i>
    <i r="1">
      <x v="229"/>
      <x v="111"/>
    </i>
    <i r="1">
      <x v="230"/>
      <x v="112"/>
    </i>
    <i r="1">
      <x v="299"/>
      <x v="254"/>
    </i>
    <i>
      <x v="14"/>
      <x v="83"/>
      <x v="258"/>
    </i>
    <i r="1">
      <x v="131"/>
      <x v="230"/>
    </i>
    <i>
      <x v="15"/>
      <x v="301"/>
      <x v="250"/>
    </i>
    <i>
      <x v="16"/>
      <x v="34"/>
      <x v="148"/>
    </i>
    <i>
      <x v="17"/>
      <x v="96"/>
      <x v="67"/>
    </i>
    <i>
      <x v="18"/>
      <x v="101"/>
      <x v="212"/>
    </i>
    <i r="1">
      <x v="211"/>
      <x v="93"/>
    </i>
    <i>
      <x v="19"/>
      <x v="60"/>
      <x v="179"/>
    </i>
    <i r="1">
      <x v="128"/>
      <x v="228"/>
    </i>
    <i r="1">
      <x v="290"/>
      <x v="245"/>
    </i>
    <i>
      <x v="20"/>
      <x v="125"/>
      <x v="226"/>
    </i>
    <i>
      <x v="21"/>
      <x v="73"/>
      <x v="264"/>
    </i>
    <i r="1">
      <x v="267"/>
      <x v="262"/>
    </i>
    <i>
      <x v="22"/>
      <x v="11"/>
      <x v="42"/>
    </i>
    <i>
      <x v="23"/>
      <x v="98"/>
      <x v="209"/>
    </i>
    <i r="1">
      <x v="155"/>
      <x v="127"/>
    </i>
    <i r="1">
      <x v="204"/>
      <x v="82"/>
    </i>
    <i>
      <x v="24"/>
      <x v="126"/>
      <x v="34"/>
    </i>
    <i>
      <x v="25"/>
      <x v="266"/>
      <x v="261"/>
    </i>
    <i>
      <x v="26"/>
      <x v="46"/>
      <x v="158"/>
    </i>
    <i>
      <x v="27"/>
      <x v="55"/>
      <x v="169"/>
    </i>
    <i r="1">
      <x v="208"/>
      <x v="90"/>
    </i>
    <i>
      <x v="28"/>
      <x v="115"/>
      <x v="282"/>
    </i>
    <i>
      <x v="29"/>
      <x v="30"/>
      <x v="4"/>
    </i>
    <i r="1">
      <x v="188"/>
      <x v="28"/>
    </i>
    <i>
      <x v="30"/>
      <x v="116"/>
      <x v="287"/>
    </i>
    <i>
      <x v="31"/>
      <x v="29"/>
      <x v="75"/>
    </i>
    <i>
      <x v="32"/>
      <x v="139"/>
      <x v="237"/>
    </i>
    <i>
      <x v="33"/>
      <x v="7"/>
      <x v="72"/>
    </i>
    <i>
      <x v="34"/>
      <x v="297"/>
      <x v="247"/>
    </i>
    <i>
      <x v="35"/>
      <x v="3"/>
      <x v="21"/>
    </i>
    <i r="1">
      <x v="51"/>
      <x v="281"/>
    </i>
    <i r="1">
      <x v="122"/>
      <x v="223"/>
    </i>
    <i r="1">
      <x v="220"/>
      <x v="102"/>
    </i>
    <i>
      <x v="36"/>
      <x v="47"/>
      <x v="159"/>
    </i>
    <i>
      <x v="37"/>
      <x v="132"/>
      <x v="231"/>
    </i>
    <i>
      <x v="38"/>
      <x v="268"/>
      <x v="265"/>
    </i>
    <i>
      <x v="39"/>
      <x v="79"/>
      <x v="186"/>
    </i>
    <i>
      <x v="40"/>
      <x v="24"/>
      <x v="18"/>
    </i>
    <i r="1">
      <x v="117"/>
      <x v="69"/>
    </i>
    <i>
      <x v="41"/>
      <x v="108"/>
      <x v="205"/>
    </i>
    <i>
      <x v="42"/>
      <x v="183"/>
      <x v="260"/>
    </i>
    <i>
      <x v="43"/>
      <x v="113"/>
      <x v="191"/>
    </i>
    <i>
      <x v="44"/>
      <x v="25"/>
      <x v="68"/>
    </i>
    <i>
      <x v="45"/>
      <x v="306"/>
      <x v="249"/>
    </i>
    <i>
      <x v="46"/>
      <x v="26"/>
      <x v="266"/>
    </i>
    <i>
      <x v="47"/>
      <x/>
      <x v="270"/>
    </i>
    <i r="1">
      <x v="2"/>
      <x v="84"/>
    </i>
    <i r="1">
      <x v="27"/>
      <x v="37"/>
    </i>
    <i r="1">
      <x v="103"/>
      <x v="213"/>
    </i>
    <i r="1">
      <x v="190"/>
      <x v="38"/>
    </i>
    <i r="1">
      <x v="217"/>
      <x v="99"/>
    </i>
    <i>
      <x v="48"/>
      <x v="5"/>
      <x v="81"/>
    </i>
    <i r="1">
      <x v="8"/>
      <x v="88"/>
    </i>
    <i r="1">
      <x v="38"/>
      <x v="149"/>
    </i>
    <i r="1">
      <x v="42"/>
      <x v="153"/>
    </i>
    <i r="1">
      <x v="67"/>
      <x v="20"/>
    </i>
    <i r="1">
      <x v="70"/>
      <x v="14"/>
    </i>
    <i r="1">
      <x v="75"/>
      <x v="184"/>
    </i>
    <i r="1">
      <x v="77"/>
      <x v="185"/>
    </i>
    <i r="1">
      <x v="112"/>
      <x v="189"/>
    </i>
    <i r="1">
      <x v="123"/>
      <x v="224"/>
    </i>
    <i r="1">
      <x v="156"/>
      <x v="33"/>
    </i>
    <i r="1">
      <x v="180"/>
      <x v="83"/>
    </i>
    <i r="1">
      <x v="182"/>
      <x v="286"/>
    </i>
    <i r="1">
      <x v="236"/>
      <x v="119"/>
    </i>
    <i r="1">
      <x v="241"/>
      <x v="124"/>
    </i>
    <i r="1">
      <x v="245"/>
      <x v="129"/>
    </i>
    <i r="1">
      <x v="256"/>
      <x v="181"/>
    </i>
    <i r="1">
      <x v="277"/>
      <x v="103"/>
    </i>
    <i r="1">
      <x v="278"/>
      <x v="275"/>
    </i>
    <i r="1">
      <x v="291"/>
      <x v="232"/>
    </i>
    <i r="1">
      <x v="302"/>
      <x v="242"/>
    </i>
    <i r="1">
      <x v="309"/>
      <x v="140"/>
    </i>
    <i>
      <x v="49"/>
      <x v="31"/>
      <x v="16"/>
    </i>
    <i r="1">
      <x v="32"/>
      <x/>
    </i>
    <i>
      <x v="50"/>
      <x v="269"/>
      <x v="267"/>
    </i>
    <i>
      <x v="51"/>
      <x v="177"/>
      <x v="73"/>
    </i>
    <i>
      <x v="52"/>
      <x v="40"/>
      <x v="151"/>
    </i>
    <i r="1">
      <x v="187"/>
      <x v="27"/>
    </i>
    <i r="1">
      <x v="305"/>
      <x v="233"/>
    </i>
    <i>
      <x v="53"/>
      <x v="194"/>
      <x v="40"/>
    </i>
    <i r="1">
      <x v="195"/>
      <x v="41"/>
    </i>
    <i r="1">
      <x v="286"/>
      <x v="252"/>
    </i>
    <i>
      <x v="54"/>
      <x v="19"/>
      <x v="203"/>
    </i>
    <i r="1">
      <x v="138"/>
      <x v="57"/>
    </i>
    <i r="1">
      <x v="150"/>
      <x v="8"/>
    </i>
    <i r="1">
      <x v="189"/>
      <x v="29"/>
    </i>
    <i r="1">
      <x v="253"/>
      <x v="173"/>
    </i>
    <i>
      <x v="55"/>
      <x v="13"/>
      <x v="85"/>
    </i>
    <i>
      <x v="56"/>
      <x v="37"/>
      <x v="9"/>
    </i>
    <i>
      <x v="57"/>
      <x v="58"/>
      <x v="175"/>
    </i>
    <i r="1">
      <x v="251"/>
      <x v="161"/>
    </i>
    <i>
      <x v="58"/>
      <x v="178"/>
      <x v="31"/>
    </i>
    <i>
      <x v="59"/>
      <x v="184"/>
      <x v="2"/>
    </i>
    <i r="1">
      <x v="255"/>
      <x v="176"/>
    </i>
    <i r="1">
      <x v="303"/>
      <x v="238"/>
    </i>
    <i>
      <x v="60"/>
      <x v="10"/>
      <x v="86"/>
    </i>
    <i r="1">
      <x v="54"/>
      <x v="168"/>
    </i>
    <i r="1">
      <x v="59"/>
      <x v="177"/>
    </i>
    <i r="1">
      <x v="279"/>
      <x v="126"/>
    </i>
    <i r="1">
      <x v="289"/>
      <x v="241"/>
    </i>
    <i>
      <x v="61"/>
      <x v="215"/>
      <x v="97"/>
    </i>
    <i>
      <x v="62"/>
      <x v="89"/>
      <x v="87"/>
    </i>
    <i r="1">
      <x v="179"/>
      <x v="30"/>
    </i>
    <i>
      <x v="63"/>
      <x v="124"/>
      <x v="225"/>
    </i>
    <i r="1">
      <x v="237"/>
      <x v="120"/>
    </i>
    <i>
      <x v="64"/>
      <x v="157"/>
      <x v="13"/>
    </i>
    <i>
      <x v="65"/>
      <x v="14"/>
      <x v="268"/>
    </i>
    <i>
      <x v="66"/>
      <x v="15"/>
      <x v="199"/>
    </i>
    <i>
      <x v="67"/>
      <x v="20"/>
      <x v="44"/>
    </i>
    <i>
      <x v="68"/>
      <x v="144"/>
      <x v="6"/>
    </i>
    <i>
      <x v="69"/>
      <x v="173"/>
      <x v="188"/>
    </i>
    <i>
      <x v="70"/>
      <x v="4"/>
      <x v="182"/>
    </i>
    <i r="1">
      <x v="68"/>
      <x v="183"/>
    </i>
    <i r="1">
      <x v="114"/>
      <x v="187"/>
    </i>
    <i>
      <x v="71"/>
      <x v="35"/>
      <x v="74"/>
    </i>
    <i>
      <x v="72"/>
      <x v="94"/>
      <x v="36"/>
    </i>
    <i>
      <x v="73"/>
      <x v="9"/>
      <x v="1"/>
    </i>
    <i r="1">
      <x v="12"/>
      <x v="51"/>
    </i>
    <i>
      <x v="74"/>
      <x v="22"/>
      <x v="45"/>
    </i>
    <i r="1">
      <x v="153"/>
      <x v="48"/>
    </i>
    <i>
      <x v="75"/>
      <x v="111"/>
      <x v="49"/>
    </i>
    <i>
      <x v="76"/>
      <x v="1"/>
      <x v="77"/>
    </i>
    <i>
      <x v="77"/>
      <x v="41"/>
      <x v="152"/>
    </i>
    <i r="1">
      <x v="118"/>
      <x v="70"/>
    </i>
    <i r="1">
      <x v="263"/>
      <x v="204"/>
    </i>
    <i>
      <x v="78"/>
      <x v="146"/>
      <x v="5"/>
    </i>
    <i>
      <x v="79"/>
      <x v="78"/>
      <x v="54"/>
    </i>
    <i r="1">
      <x v="288"/>
      <x v="244"/>
    </i>
    <i>
      <x v="80"/>
      <x v="90"/>
      <x v="145"/>
    </i>
    <i r="1">
      <x v="223"/>
      <x v="105"/>
    </i>
    <i r="1">
      <x v="242"/>
      <x v="125"/>
    </i>
    <i r="1">
      <x v="250"/>
      <x v="160"/>
    </i>
    <i>
      <x v="81"/>
      <x v="21"/>
      <x v="43"/>
    </i>
    <i>
      <x v="82"/>
      <x v="76"/>
      <x v="7"/>
    </i>
    <i r="1">
      <x v="249"/>
      <x v="156"/>
    </i>
    <i>
      <x v="83"/>
      <x v="130"/>
      <x v="229"/>
    </i>
    <i r="1">
      <x v="296"/>
      <x v="278"/>
    </i>
    <i>
      <x v="84"/>
      <x v="203"/>
      <x v="79"/>
    </i>
    <i>
      <x v="85"/>
      <x v="174"/>
      <x v="3"/>
    </i>
    <i r="1">
      <x v="257"/>
      <x v="192"/>
    </i>
    <i r="1">
      <x v="307"/>
      <x v="235"/>
    </i>
    <i>
      <x v="86"/>
      <x v="18"/>
      <x v="202"/>
    </i>
    <i>
      <x v="87"/>
      <x v="16"/>
      <x v="200"/>
    </i>
    <i r="1">
      <x v="104"/>
      <x v="214"/>
    </i>
    <i r="1">
      <x v="109"/>
      <x v="46"/>
    </i>
    <i r="1">
      <x v="121"/>
      <x v="206"/>
    </i>
    <i r="1">
      <x v="140"/>
      <x v="17"/>
    </i>
    <i>
      <x v="88"/>
      <x v="119"/>
      <x v="50"/>
    </i>
    <i>
      <x v="89"/>
      <x v="88"/>
      <x v="144"/>
    </i>
    <i r="1">
      <x v="154"/>
      <x v="283"/>
    </i>
    <i r="1">
      <x v="244"/>
      <x v="128"/>
    </i>
    <i r="1">
      <x v="252"/>
      <x v="172"/>
    </i>
    <i r="1">
      <x v="308"/>
      <x v="234"/>
    </i>
    <i>
      <x v="90"/>
      <x v="36"/>
      <x v="65"/>
    </i>
    <i>
      <x v="91"/>
      <x v="23"/>
      <x v="11"/>
    </i>
    <i r="1">
      <x v="310"/>
      <x v="178"/>
    </i>
    <i>
      <x v="92"/>
      <x v="265"/>
      <x v="239"/>
    </i>
    <i>
      <x v="93"/>
      <x v="84"/>
      <x v="259"/>
    </i>
    <i>
      <x v="94"/>
      <x v="65"/>
      <x v="263"/>
    </i>
    <i>
      <x v="95"/>
      <x v="191"/>
      <x v="207"/>
    </i>
    <i>
      <x v="96"/>
      <x v="246"/>
      <x v="130"/>
    </i>
    <i>
      <x v="97"/>
      <x v="247"/>
      <x v="131"/>
    </i>
    <i>
      <x v="98"/>
      <x v="260"/>
      <x v="196"/>
    </i>
    <i>
      <x v="99"/>
      <x v="264"/>
      <x v="217"/>
    </i>
  </rowItems>
  <colFields count="1">
    <field x="-2"/>
  </colFields>
  <colItems count="2">
    <i>
      <x/>
    </i>
    <i i="1">
      <x v="1"/>
    </i>
  </colItems>
  <dataFields count="2">
    <dataField name="# Salas" fld="6" baseField="0" baseItem="0"/>
    <dataField name="Suma de Capacidad Esp" fld="7" baseField="0" baseItem="0"/>
  </dataFields>
  <formats count="27">
    <format dxfId="55">
      <pivotArea field="1" type="button" dataOnly="0" labelOnly="1" outline="0"/>
    </format>
    <format dxfId="56">
      <pivotArea dataOnly="0" labelOnly="1" grandRow="1" outline="0" fieldPosition="0"/>
    </format>
    <format dxfId="57">
      <pivotArea type="all" dataOnly="0" outline="0" fieldPosition="0"/>
    </format>
    <format dxfId="58">
      <pivotArea field="1" type="button" dataOnly="0" labelOnly="1" outline="0"/>
    </format>
    <format dxfId="59">
      <pivotArea dataOnly="0" labelOnly="1" grandRow="1" outline="0" fieldPosition="0"/>
    </format>
    <format dxfId="60">
      <pivotArea type="all" dataOnly="0" outline="0" fieldPosition="0"/>
    </format>
    <format dxfId="61">
      <pivotArea field="1" type="button" dataOnly="0" labelOnly="1" outline="0"/>
    </format>
    <format dxfId="62">
      <pivotArea dataOnly="0" labelOnly="1" grandRow="1" outline="0" fieldPosition="0"/>
    </format>
    <format dxfId="63">
      <pivotArea field="1" type="button" dataOnly="0" labelOnly="1" outline="0"/>
    </format>
    <format dxfId="64">
      <pivotArea field="4" type="button" dataOnly="0" labelOnly="1" outline="0" axis="axisRow" fieldPosition="0"/>
    </format>
    <format dxfId="65">
      <pivotArea field="1" type="button" dataOnly="0" labelOnly="1" outline="0"/>
    </format>
    <format dxfId="66">
      <pivotArea field="2" type="button" dataOnly="0" labelOnly="1" outline="0" axis="axisRow" fieldPosition="1"/>
    </format>
    <format dxfId="67">
      <pivotArea dataOnly="0" labelOnly="1" outline="0" axis="axisValues" fieldPosition="0"/>
    </format>
    <format dxfId="68">
      <pivotArea field="5" type="button" dataOnly="0" labelOnly="1" outline="0" axis="axisRow" fieldPosition="2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field="4" type="button" dataOnly="0" labelOnly="1" outline="0" axis="axisRow" fieldPosition="0"/>
    </format>
    <format dxfId="71">
      <pivotArea field="2" type="button" dataOnly="0" labelOnly="1" outline="0" axis="axisRow" fieldPosition="1"/>
    </format>
    <format dxfId="72">
      <pivotArea field="5" type="button" dataOnly="0" labelOnly="1" outline="0" axis="axisRow" fieldPosition="2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4" type="button" dataOnly="0" labelOnly="1" outline="0" axis="axisRow" fieldPosition="0"/>
    </format>
    <format dxfId="75">
      <pivotArea field="2" type="button" dataOnly="0" labelOnly="1" outline="0" axis="axisRow" fieldPosition="1"/>
    </format>
    <format dxfId="76">
      <pivotArea field="5" type="button" dataOnly="0" labelOnly="1" outline="0" axis="axisRow" fieldPosition="2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field="4" type="button" dataOnly="0" labelOnly="1" outline="0" axis="axisRow" fieldPosition="0"/>
    </format>
    <format dxfId="79">
      <pivotArea field="2" type="button" dataOnly="0" labelOnly="1" outline="0" axis="axisRow" fieldPosition="1"/>
    </format>
    <format dxfId="80">
      <pivotArea field="5" type="button" dataOnly="0" labelOnly="1" outline="0" axis="axisRow" fieldPosition="2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AE00F-68A9-4DDF-B969-0744C7525D03}" name="TablaDinámica2" cacheId="2731" applyNumberFormats="0" applyBorderFormats="0" applyFontFormats="0" applyPatternFormats="0" applyAlignmentFormats="0" applyWidthHeightFormats="1" dataCaption="Valores" updatedVersion="8" minRefreshableVersion="3" rowGrandTotals="0" itemPrintTitles="1" mergeItem="1" createdVersion="8" indent="0" compact="0" compactData="0" multipleFieldFilters="0">
  <location ref="A10:F279" firstHeaderRow="0" firstDataRow="1" firstDataCol="4"/>
  <pivotFields count="8">
    <pivotField compact="0" outline="0" showAll="0" defaultSubtotal="0"/>
    <pivotField axis="axisRow" compact="0" outline="0" showAll="0" defaultSubtotal="0">
      <items count="78">
        <item x="0"/>
        <item x="7"/>
        <item x="17"/>
        <item x="40"/>
        <item x="3"/>
        <item x="71"/>
        <item x="39"/>
        <item x="42"/>
        <item x="29"/>
        <item x="61"/>
        <item x="16"/>
        <item x="72"/>
        <item x="23"/>
        <item x="31"/>
        <item x="32"/>
        <item x="49"/>
        <item x="60"/>
        <item x="19"/>
        <item x="15"/>
        <item x="13"/>
        <item x="45"/>
        <item x="43"/>
        <item x="22"/>
        <item x="9"/>
        <item x="6"/>
        <item x="53"/>
        <item x="2"/>
        <item x="10"/>
        <item x="38"/>
        <item x="36"/>
        <item x="11"/>
        <item x="44"/>
        <item x="14"/>
        <item x="35"/>
        <item x="28"/>
        <item x="18"/>
        <item x="21"/>
        <item m="1" x="76"/>
        <item x="69"/>
        <item x="8"/>
        <item x="24"/>
        <item x="50"/>
        <item x="1"/>
        <item x="4"/>
        <item x="5"/>
        <item x="58"/>
        <item x="20"/>
        <item x="52"/>
        <item x="26"/>
        <item x="27"/>
        <item x="30"/>
        <item x="33"/>
        <item x="37"/>
        <item x="41"/>
        <item x="34"/>
        <item x="12"/>
        <item x="62"/>
        <item x="63"/>
        <item x="64"/>
        <item x="65"/>
        <item m="1" x="77"/>
        <item x="68"/>
        <item x="70"/>
        <item x="73"/>
        <item x="74"/>
        <item x="75"/>
        <item x="25"/>
        <item x="57"/>
        <item x="54"/>
        <item x="59"/>
        <item x="55"/>
        <item x="56"/>
        <item x="51"/>
        <item x="46"/>
        <item x="47"/>
        <item x="48"/>
        <item x="66"/>
        <item x="67"/>
      </items>
    </pivotField>
    <pivotField axis="axisRow" compact="0" outline="0" subtotalTop="0" showAll="0" defaultSubtotal="0">
      <items count="311">
        <item x="0"/>
        <item x="1"/>
        <item x="3"/>
        <item x="217"/>
        <item x="175"/>
        <item x="239"/>
        <item x="259"/>
        <item x="260"/>
        <item x="7"/>
        <item x="188"/>
        <item x="5"/>
        <item x="120"/>
        <item x="189"/>
        <item x="4"/>
        <item x="264"/>
        <item x="191"/>
        <item x="192"/>
        <item x="193"/>
        <item x="194"/>
        <item x="195"/>
        <item x="136"/>
        <item x="137"/>
        <item x="138"/>
        <item x="139"/>
        <item x="254"/>
        <item x="253"/>
        <item x="249"/>
        <item x="70"/>
        <item x="67"/>
        <item x="268"/>
        <item x="266"/>
        <item x="257"/>
        <item x="258"/>
        <item x="2"/>
        <item x="140"/>
        <item x="265"/>
        <item x="250"/>
        <item x="116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m="1" x="285"/>
        <item x="121"/>
        <item x="122"/>
        <item x="123"/>
        <item x="231"/>
        <item x="124"/>
        <item x="210"/>
        <item x="176"/>
        <item m="1" x="286"/>
        <item x="211"/>
        <item x="125"/>
        <item x="177"/>
        <item x="232"/>
        <item x="126"/>
        <item x="178"/>
        <item x="212"/>
        <item x="179"/>
        <item x="213"/>
        <item x="180"/>
        <item x="218"/>
        <item x="219"/>
        <item x="127"/>
        <item x="228"/>
        <item x="229"/>
        <item x="129"/>
        <item x="130"/>
        <item x="131"/>
        <item x="132"/>
        <item x="6"/>
        <item x="133"/>
        <item x="134"/>
        <item m="1" x="282"/>
        <item x="72"/>
        <item x="69"/>
        <item x="64"/>
        <item x="25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97"/>
        <item x="174"/>
        <item x="173"/>
        <item x="184"/>
        <item x="61"/>
        <item x="246"/>
        <item x="181"/>
        <item x="186"/>
        <item x="267"/>
        <item x="255"/>
        <item x="256"/>
        <item x="187"/>
        <item x="185"/>
        <item x="198"/>
        <item x="77"/>
        <item x="78"/>
        <item x="79"/>
        <item x="80"/>
        <item x="65"/>
        <item m="1" x="289"/>
        <item x="81"/>
        <item x="220"/>
        <item x="82"/>
        <item x="84"/>
        <item x="85"/>
        <item m="1" x="290"/>
        <item m="1" x="291"/>
        <item m="1" x="292"/>
        <item m="1" x="293"/>
        <item x="86"/>
        <item x="221"/>
        <item x="87"/>
        <item x="222"/>
        <item x="223"/>
        <item m="1" x="294"/>
        <item x="88"/>
        <item x="224"/>
        <item m="1" x="296"/>
        <item x="76"/>
        <item m="1" x="297"/>
        <item m="1" x="298"/>
        <item m="1" x="299"/>
        <item x="225"/>
        <item x="8"/>
        <item x="9"/>
        <item x="183"/>
        <item x="190"/>
        <item x="11"/>
        <item x="63"/>
        <item x="262"/>
        <item x="214"/>
        <item x="215"/>
        <item m="1" x="300"/>
        <item m="1" x="301"/>
        <item m="1" x="302"/>
        <item m="1" x="303"/>
        <item m="1" x="304"/>
        <item m="1" x="305"/>
        <item m="1" x="306"/>
        <item m="1" x="307"/>
        <item x="226"/>
        <item m="1" x="308"/>
        <item m="1" x="309"/>
        <item m="1" x="310"/>
        <item x="230"/>
        <item x="182"/>
        <item x="115"/>
        <item x="227"/>
        <item x="216"/>
        <item x="261"/>
        <item x="57"/>
        <item x="58"/>
        <item x="240"/>
        <item x="119"/>
        <item x="251"/>
        <item x="117"/>
        <item x="248"/>
        <item x="14"/>
        <item x="12"/>
        <item x="13"/>
        <item x="15"/>
        <item x="59"/>
        <item x="71"/>
        <item x="75"/>
        <item m="1" x="287"/>
        <item m="1" x="288"/>
        <item x="236"/>
        <item x="237"/>
        <item x="141"/>
        <item m="1" x="278"/>
        <item m="1" x="281"/>
        <item m="1" x="283"/>
        <item m="1" x="284"/>
        <item m="1" x="295"/>
        <item x="238"/>
        <item x="118"/>
        <item x="241"/>
        <item x="42"/>
        <item x="43"/>
        <item x="27"/>
        <item x="41"/>
        <item x="39"/>
        <item m="1" x="269"/>
        <item x="24"/>
        <item x="18"/>
        <item x="30"/>
        <item m="1" x="270"/>
        <item x="44"/>
        <item m="1" x="271"/>
        <item x="47"/>
        <item x="29"/>
        <item x="25"/>
        <item x="48"/>
        <item m="1" x="272"/>
        <item m="1" x="273"/>
        <item x="28"/>
        <item m="1" x="274"/>
        <item x="52"/>
        <item m="1" x="275"/>
        <item m="1" x="276"/>
        <item x="53"/>
        <item x="40"/>
        <item x="54"/>
        <item x="21"/>
        <item x="17"/>
        <item m="1" x="277"/>
        <item x="34"/>
        <item x="20"/>
        <item x="38"/>
        <item x="50"/>
        <item x="19"/>
        <item x="31"/>
        <item m="1" x="279"/>
        <item x="35"/>
        <item x="49"/>
        <item m="1" x="280"/>
        <item x="56"/>
        <item x="51"/>
        <item x="245"/>
        <item x="242"/>
        <item x="135"/>
        <item x="171"/>
        <item x="167"/>
        <item x="168"/>
        <item x="172"/>
        <item x="169"/>
        <item x="170"/>
        <item x="166"/>
        <item x="60"/>
        <item x="247"/>
        <item x="66"/>
        <item x="68"/>
        <item x="243"/>
        <item x="73"/>
        <item x="74"/>
        <item x="196"/>
        <item x="244"/>
        <item x="89"/>
        <item x="233"/>
        <item x="234"/>
        <item x="235"/>
        <item x="263"/>
        <item x="10"/>
        <item x="16"/>
        <item x="22"/>
        <item x="23"/>
        <item x="26"/>
        <item x="32"/>
        <item x="33"/>
        <item x="36"/>
        <item x="37"/>
        <item x="45"/>
        <item x="46"/>
        <item x="55"/>
        <item x="62"/>
        <item x="83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28"/>
        <item x="164"/>
      </items>
    </pivotField>
    <pivotField compact="0" outline="0" subtotalTop="0" showAll="0" defaultSubtotal="0">
      <items count="29">
        <item x="6"/>
        <item x="8"/>
        <item x="2"/>
        <item x="11"/>
        <item x="16"/>
        <item x="0"/>
        <item x="21"/>
        <item x="20"/>
        <item x="14"/>
        <item x="22"/>
        <item x="25"/>
        <item x="7"/>
        <item x="9"/>
        <item x="23"/>
        <item x="5"/>
        <item x="26"/>
        <item x="19"/>
        <item x="15"/>
        <item x="18"/>
        <item x="3"/>
        <item x="27"/>
        <item x="13"/>
        <item m="1" x="28"/>
        <item x="4"/>
        <item x="24"/>
        <item x="12"/>
        <item x="17"/>
        <item x="1"/>
        <item x="10"/>
      </items>
    </pivotField>
    <pivotField axis="axisRow" compact="0" outline="0" subtotalTop="0" showAll="0" defaultSubtotal="0">
      <items count="100">
        <item x="91"/>
        <item x="79"/>
        <item x="73"/>
        <item x="71"/>
        <item x="68"/>
        <item x="18"/>
        <item x="47"/>
        <item x="9"/>
        <item x="60"/>
        <item x="2"/>
        <item x="16"/>
        <item x="38"/>
        <item x="13"/>
        <item x="14"/>
        <item x="31"/>
        <item x="39"/>
        <item x="52"/>
        <item x="87"/>
        <item x="11"/>
        <item x="29"/>
        <item x="28"/>
        <item x="76"/>
        <item x="46"/>
        <item x="7"/>
        <item x="24"/>
        <item x="77"/>
        <item x="54"/>
        <item x="15"/>
        <item x="64"/>
        <item x="10"/>
        <item x="98"/>
        <item x="99"/>
        <item x="33"/>
        <item x="92"/>
        <item x="37"/>
        <item x="19"/>
        <item x="55"/>
        <item x="32"/>
        <item x="78"/>
        <item x="61"/>
        <item x="89"/>
        <item x="70"/>
        <item x="44"/>
        <item x="84"/>
        <item x="88"/>
        <item x="41"/>
        <item x="85"/>
        <item x="0"/>
        <item x="6"/>
        <item x="90"/>
        <item x="95"/>
        <item x="93"/>
        <item x="8"/>
        <item x="35"/>
        <item x="23"/>
        <item x="3"/>
        <item x="43"/>
        <item x="56"/>
        <item x="22"/>
        <item x="40"/>
        <item x="4"/>
        <item x="17"/>
        <item x="5"/>
        <item x="20"/>
        <item x="94"/>
        <item x="96"/>
        <item x="67"/>
        <item x="48"/>
        <item x="72"/>
        <item x="62"/>
        <item x="59"/>
        <item x="97"/>
        <item x="25"/>
        <item x="66"/>
        <item x="50"/>
        <item x="63"/>
        <item x="1"/>
        <item x="53"/>
        <item x="27"/>
        <item x="36"/>
        <item x="12"/>
        <item x="49"/>
        <item x="57"/>
        <item x="30"/>
        <item x="45"/>
        <item x="42"/>
        <item x="69"/>
        <item x="58"/>
        <item x="65"/>
        <item x="21"/>
        <item x="86"/>
        <item x="51"/>
        <item x="34"/>
        <item x="74"/>
        <item x="75"/>
        <item x="26"/>
        <item x="83"/>
        <item x="80"/>
        <item x="81"/>
        <item x="82"/>
      </items>
    </pivotField>
    <pivotField axis="axisRow" compact="0" outline="0" subtotalTop="0" showAll="0" defaultSubtotal="0">
      <items count="288">
        <item x="258"/>
        <item x="188"/>
        <item x="248"/>
        <item x="115"/>
        <item x="266"/>
        <item x="76"/>
        <item x="224"/>
        <item x="212"/>
        <item x="225"/>
        <item x="116"/>
        <item x="223"/>
        <item x="139"/>
        <item x="220"/>
        <item x="262"/>
        <item x="211"/>
        <item x="207"/>
        <item x="257"/>
        <item x="222"/>
        <item x="254"/>
        <item x="215"/>
        <item x="210"/>
        <item x="217"/>
        <item x="14"/>
        <item x="8"/>
        <item x="9"/>
        <item x="27"/>
        <item x="12"/>
        <item x="13"/>
        <item x="15"/>
        <item x="59"/>
        <item x="58"/>
        <item x="57"/>
        <item x="62"/>
        <item x="63"/>
        <item x="65"/>
        <item x="67"/>
        <item x="69"/>
        <item x="70"/>
        <item x="71"/>
        <item x="72"/>
        <item x="236"/>
        <item x="237"/>
        <item x="120"/>
        <item x="137"/>
        <item x="136"/>
        <item x="138"/>
        <item x="174"/>
        <item x="177"/>
        <item x="183"/>
        <item x="184"/>
        <item x="187"/>
        <item x="189"/>
        <item x="204"/>
        <item x="214"/>
        <item x="213"/>
        <item x="219"/>
        <item x="226"/>
        <item x="221"/>
        <item m="1" x="270"/>
        <item m="1" x="271"/>
        <item m="1" x="277"/>
        <item m="1" x="279"/>
        <item m="1" x="281"/>
        <item m="1" x="282"/>
        <item m="1" x="285"/>
        <item x="250"/>
        <item m="1" x="286"/>
        <item x="252"/>
        <item x="253"/>
        <item x="255"/>
        <item x="256"/>
        <item x="259"/>
        <item x="260"/>
        <item x="261"/>
        <item x="265"/>
        <item x="268"/>
        <item m="1" x="269"/>
        <item x="1"/>
        <item x="238"/>
        <item x="118"/>
        <item x="2"/>
        <item x="239"/>
        <item x="241"/>
        <item x="240"/>
        <item x="3"/>
        <item x="4"/>
        <item x="5"/>
        <item x="6"/>
        <item x="7"/>
        <item x="43"/>
        <item x="41"/>
        <item x="39"/>
        <item x="23"/>
        <item x="24"/>
        <item x="18"/>
        <item x="30"/>
        <item m="1" x="272"/>
        <item x="44"/>
        <item x="26"/>
        <item x="47"/>
        <item m="1" x="273"/>
        <item x="25"/>
        <item x="48"/>
        <item x="36"/>
        <item x="55"/>
        <item x="28"/>
        <item x="22"/>
        <item x="52"/>
        <item m="1" x="274"/>
        <item m="1" x="275"/>
        <item x="53"/>
        <item x="40"/>
        <item x="54"/>
        <item x="21"/>
        <item x="17"/>
        <item x="46"/>
        <item x="10"/>
        <item x="34"/>
        <item m="1" x="276"/>
        <item x="38"/>
        <item x="50"/>
        <item x="19"/>
        <item x="31"/>
        <item x="16"/>
        <item x="35"/>
        <item x="49"/>
        <item x="45"/>
        <item x="11"/>
        <item x="56"/>
        <item x="51"/>
        <item x="245"/>
        <item x="242"/>
        <item x="121"/>
        <item x="122"/>
        <item x="123"/>
        <item x="135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m="1" x="278"/>
        <item x="140"/>
        <item x="142"/>
        <item x="143"/>
        <item x="144"/>
        <item x="145"/>
        <item x="146"/>
        <item x="147"/>
        <item x="148"/>
        <item x="171"/>
        <item x="149"/>
        <item x="150"/>
        <item x="151"/>
        <item x="167"/>
        <item x="168"/>
        <item x="152"/>
        <item x="153"/>
        <item x="154"/>
        <item m="1" x="280"/>
        <item x="156"/>
        <item x="157"/>
        <item x="158"/>
        <item x="159"/>
        <item x="160"/>
        <item x="161"/>
        <item x="172"/>
        <item x="169"/>
        <item x="170"/>
        <item x="162"/>
        <item x="166"/>
        <item x="163"/>
        <item x="164"/>
        <item x="165"/>
        <item x="173"/>
        <item x="60"/>
        <item x="175"/>
        <item x="176"/>
        <item x="178"/>
        <item x="179"/>
        <item x="180"/>
        <item x="181"/>
        <item x="182"/>
        <item x="61"/>
        <item x="64"/>
        <item x="246"/>
        <item x="247"/>
        <item x="66"/>
        <item x="68"/>
        <item x="185"/>
        <item x="243"/>
        <item x="73"/>
        <item x="74"/>
        <item x="191"/>
        <item x="192"/>
        <item x="193"/>
        <item x="194"/>
        <item x="195"/>
        <item x="196"/>
        <item x="197"/>
        <item x="198"/>
        <item x="75"/>
        <item x="199"/>
        <item x="200"/>
        <item x="201"/>
        <item x="202"/>
        <item x="203"/>
        <item x="205"/>
        <item x="206"/>
        <item x="208"/>
        <item x="209"/>
        <item x="244"/>
        <item x="216"/>
        <item x="101"/>
        <item x="91"/>
        <item x="98"/>
        <item x="83"/>
        <item x="77"/>
        <item x="78"/>
        <item x="79"/>
        <item x="80"/>
        <item m="1" x="283"/>
        <item x="81"/>
        <item x="82"/>
        <item x="84"/>
        <item x="85"/>
        <item x="97"/>
        <item x="111"/>
        <item x="114"/>
        <item x="113"/>
        <item x="86"/>
        <item x="87"/>
        <item x="109"/>
        <item x="89"/>
        <item x="88"/>
        <item x="95"/>
        <item x="108"/>
        <item x="93"/>
        <item x="94"/>
        <item x="96"/>
        <item x="104"/>
        <item x="103"/>
        <item x="100"/>
        <item x="112"/>
        <item x="107"/>
        <item m="1" x="284"/>
        <item x="92"/>
        <item x="110"/>
        <item x="105"/>
        <item x="99"/>
        <item x="106"/>
        <item x="227"/>
        <item x="228"/>
        <item x="229"/>
        <item x="117"/>
        <item x="233"/>
        <item x="234"/>
        <item x="231"/>
        <item x="232"/>
        <item x="235"/>
        <item x="249"/>
        <item x="263"/>
        <item x="264"/>
        <item m="1" x="287"/>
        <item x="0"/>
        <item x="20"/>
        <item x="29"/>
        <item x="32"/>
        <item x="33"/>
        <item x="37"/>
        <item x="42"/>
        <item x="90"/>
        <item x="102"/>
        <item x="119"/>
        <item x="141"/>
        <item x="155"/>
        <item x="186"/>
        <item x="190"/>
        <item x="218"/>
        <item x="230"/>
        <item x="251"/>
        <item x="267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4">
    <field x="4"/>
    <field x="1"/>
    <field x="2"/>
    <field x="5"/>
  </rowFields>
  <rowItems count="269">
    <i>
      <x/>
      <x v="61"/>
      <x v="6"/>
      <x v="71"/>
    </i>
    <i>
      <x v="1"/>
      <x v="47"/>
      <x v="202"/>
      <x v="78"/>
    </i>
    <i>
      <x v="2"/>
      <x v="75"/>
      <x v="175"/>
      <x v="257"/>
    </i>
    <i>
      <x v="3"/>
      <x v="74"/>
      <x v="176"/>
      <x v="218"/>
    </i>
    <i>
      <x v="4"/>
      <x v="7"/>
      <x v="17"/>
      <x v="201"/>
    </i>
    <i r="1">
      <x v="73"/>
      <x v="158"/>
      <x v="53"/>
    </i>
    <i>
      <x v="5"/>
      <x v="1"/>
      <x v="280"/>
      <x v="115"/>
    </i>
    <i r="1">
      <x v="14"/>
      <x v="254"/>
      <x v="174"/>
    </i>
    <i r="1">
      <x v="36"/>
      <x v="137"/>
      <x v="236"/>
    </i>
    <i r="2">
      <x v="294"/>
      <x v="248"/>
    </i>
    <i>
      <x v="6"/>
      <x v="20"/>
      <x v="106"/>
      <x v="215"/>
    </i>
    <i r="1">
      <x v="34"/>
      <x v="91"/>
      <x v="146"/>
    </i>
    <i>
      <x v="7"/>
      <x v="1"/>
      <x v="185"/>
      <x v="22"/>
    </i>
    <i r="2">
      <x v="228"/>
      <x v="110"/>
    </i>
    <i r="1">
      <x v="18"/>
      <x v="258"/>
      <x v="193"/>
    </i>
    <i r="1">
      <x v="20"/>
      <x v="107"/>
      <x v="216"/>
    </i>
    <i r="1">
      <x v="36"/>
      <x v="141"/>
      <x v="10"/>
    </i>
    <i r="2">
      <x v="143"/>
      <x v="240"/>
    </i>
    <i r="2">
      <x v="285"/>
      <x v="220"/>
    </i>
    <i r="2">
      <x v="287"/>
      <x v="243"/>
    </i>
    <i r="2">
      <x v="304"/>
      <x v="253"/>
    </i>
    <i>
      <x v="8"/>
      <x v="54"/>
      <x v="72"/>
      <x v="47"/>
    </i>
    <i r="1">
      <x v="73"/>
      <x v="159"/>
      <x v="19"/>
    </i>
    <i>
      <x v="9"/>
      <x v="1"/>
      <x v="151"/>
      <x v="23"/>
    </i>
    <i r="2">
      <x v="152"/>
      <x v="24"/>
    </i>
    <i r="2">
      <x v="186"/>
      <x v="26"/>
    </i>
    <i r="2">
      <x v="207"/>
      <x v="25"/>
    </i>
    <i r="2">
      <x v="212"/>
      <x v="94"/>
    </i>
    <i r="2">
      <x v="218"/>
      <x v="272"/>
    </i>
    <i r="2">
      <x v="219"/>
      <x v="101"/>
    </i>
    <i r="2">
      <x v="225"/>
      <x v="107"/>
    </i>
    <i r="2">
      <x v="231"/>
      <x v="113"/>
    </i>
    <i r="2">
      <x v="232"/>
      <x v="114"/>
    </i>
    <i r="2">
      <x v="235"/>
      <x v="271"/>
    </i>
    <i r="2">
      <x v="238"/>
      <x v="121"/>
    </i>
    <i r="2">
      <x v="270"/>
      <x v="116"/>
    </i>
    <i r="2">
      <x v="271"/>
      <x v="123"/>
    </i>
    <i r="2">
      <x v="272"/>
      <x v="106"/>
    </i>
    <i r="2">
      <x v="273"/>
      <x v="92"/>
    </i>
    <i r="2">
      <x v="274"/>
      <x v="98"/>
    </i>
    <i r="2">
      <x v="281"/>
      <x v="104"/>
    </i>
    <i r="1">
      <x v="10"/>
      <x v="28"/>
      <x v="35"/>
    </i>
    <i r="1">
      <x v="13"/>
      <x v="196"/>
      <x v="280"/>
    </i>
    <i r="1">
      <x v="14"/>
      <x v="39"/>
      <x v="150"/>
    </i>
    <i r="2">
      <x v="43"/>
      <x v="154"/>
    </i>
    <i r="2">
      <x v="44"/>
      <x v="155"/>
    </i>
    <i r="2">
      <x v="45"/>
      <x v="157"/>
    </i>
    <i r="2">
      <x v="50"/>
      <x v="164"/>
    </i>
    <i r="2">
      <x v="52"/>
      <x v="166"/>
    </i>
    <i r="2">
      <x v="56"/>
      <x v="170"/>
    </i>
    <i r="2">
      <x v="57"/>
      <x v="171"/>
    </i>
    <i r="1">
      <x v="17"/>
      <x v="93"/>
      <x v="39"/>
    </i>
    <i r="2">
      <x v="261"/>
      <x v="197"/>
    </i>
    <i r="2">
      <x v="262"/>
      <x v="198"/>
    </i>
    <i r="1">
      <x v="20"/>
      <x v="97"/>
      <x v="208"/>
    </i>
    <i r="2">
      <x v="99"/>
      <x v="210"/>
    </i>
    <i r="2">
      <x v="102"/>
      <x v="52"/>
    </i>
    <i r="2">
      <x v="105"/>
      <x v="15"/>
    </i>
    <i r="1">
      <x v="30"/>
      <x v="282"/>
      <x v="32"/>
    </i>
    <i r="1">
      <x v="34"/>
      <x v="62"/>
      <x v="132"/>
    </i>
    <i r="2">
      <x v="63"/>
      <x v="133"/>
    </i>
    <i r="2">
      <x v="64"/>
      <x v="134"/>
    </i>
    <i r="2">
      <x v="71"/>
      <x v="137"/>
    </i>
    <i r="2">
      <x v="74"/>
      <x v="138"/>
    </i>
    <i r="2">
      <x v="82"/>
      <x v="139"/>
    </i>
    <i r="2">
      <x v="85"/>
      <x v="141"/>
    </i>
    <i r="2">
      <x v="86"/>
      <x v="142"/>
    </i>
    <i r="2">
      <x v="87"/>
      <x v="143"/>
    </i>
    <i r="2">
      <x v="248"/>
      <x v="135"/>
    </i>
    <i r="1">
      <x v="36"/>
      <x v="80"/>
      <x v="284"/>
    </i>
    <i r="2">
      <x v="81"/>
      <x v="55"/>
    </i>
    <i r="2">
      <x v="168"/>
      <x v="56"/>
    </i>
    <i r="2">
      <x v="283"/>
      <x v="222"/>
    </i>
    <i r="2">
      <x v="292"/>
      <x v="221"/>
    </i>
    <i r="1">
      <x v="41"/>
      <x v="172"/>
      <x v="285"/>
    </i>
    <i r="1">
      <x v="42"/>
      <x v="33"/>
      <x v="80"/>
    </i>
    <i r="1">
      <x v="48"/>
      <x v="181"/>
      <x v="279"/>
    </i>
    <i r="1">
      <x v="51"/>
      <x v="110"/>
      <x v="180"/>
    </i>
    <i>
      <x v="10"/>
      <x v="1"/>
      <x v="205"/>
      <x v="276"/>
    </i>
    <i r="2">
      <x v="206"/>
      <x v="89"/>
    </i>
    <i r="1">
      <x v="14"/>
      <x v="49"/>
      <x v="163"/>
    </i>
    <i r="1">
      <x v="36"/>
      <x v="295"/>
      <x v="219"/>
    </i>
    <i>
      <x v="11"/>
      <x v="36"/>
      <x v="298"/>
      <x v="246"/>
    </i>
    <i>
      <x v="12"/>
      <x v="1"/>
      <x v="213"/>
      <x v="95"/>
    </i>
    <i r="2">
      <x v="234"/>
      <x v="117"/>
    </i>
    <i r="2">
      <x v="239"/>
      <x v="122"/>
    </i>
    <i r="2">
      <x v="275"/>
      <x v="273"/>
    </i>
    <i r="2">
      <x v="276"/>
      <x v="274"/>
    </i>
    <i r="1">
      <x v="10"/>
      <x v="259"/>
      <x v="194"/>
    </i>
    <i r="1">
      <x v="14"/>
      <x v="48"/>
      <x v="162"/>
    </i>
    <i r="2">
      <x v="53"/>
      <x v="167"/>
    </i>
    <i r="1">
      <x v="19"/>
      <x v="95"/>
      <x v="190"/>
    </i>
    <i r="1">
      <x v="20"/>
      <x v="100"/>
      <x v="211"/>
    </i>
    <i r="1">
      <x v="29"/>
      <x v="120"/>
      <x v="195"/>
    </i>
    <i r="1">
      <x v="36"/>
      <x v="129"/>
      <x v="12"/>
    </i>
    <i r="2">
      <x v="284"/>
      <x v="277"/>
    </i>
    <i r="2">
      <x v="293"/>
      <x v="255"/>
    </i>
    <i r="2">
      <x v="300"/>
      <x v="256"/>
    </i>
    <i>
      <x v="13"/>
      <x v="1"/>
      <x v="209"/>
      <x v="91"/>
    </i>
    <i r="2">
      <x v="229"/>
      <x v="111"/>
    </i>
    <i r="2">
      <x v="230"/>
      <x v="112"/>
    </i>
    <i r="1">
      <x v="34"/>
      <x v="66"/>
      <x v="136"/>
    </i>
    <i r="1">
      <x v="36"/>
      <x v="299"/>
      <x v="254"/>
    </i>
    <i>
      <x v="14"/>
      <x v="15"/>
      <x v="83"/>
      <x v="258"/>
    </i>
    <i r="1">
      <x v="36"/>
      <x v="131"/>
      <x v="230"/>
    </i>
    <i>
      <x v="15"/>
      <x v="36"/>
      <x v="301"/>
      <x v="250"/>
    </i>
    <i>
      <x v="16"/>
      <x v="50"/>
      <x v="34"/>
      <x v="148"/>
    </i>
    <i>
      <x v="17"/>
      <x v="58"/>
      <x v="96"/>
      <x v="67"/>
    </i>
    <i>
      <x v="18"/>
      <x v="1"/>
      <x v="211"/>
      <x v="93"/>
    </i>
    <i r="1">
      <x v="20"/>
      <x v="101"/>
      <x v="212"/>
    </i>
    <i>
      <x v="19"/>
      <x v="14"/>
      <x v="60"/>
      <x v="179"/>
    </i>
    <i r="1">
      <x v="36"/>
      <x v="128"/>
      <x v="228"/>
    </i>
    <i r="2">
      <x v="290"/>
      <x v="245"/>
    </i>
    <i>
      <x v="20"/>
      <x v="36"/>
      <x v="125"/>
      <x v="226"/>
    </i>
    <i>
      <x v="21"/>
      <x v="72"/>
      <x v="73"/>
      <x v="264"/>
    </i>
    <i r="2">
      <x v="267"/>
      <x v="262"/>
    </i>
    <i>
      <x v="22"/>
      <x v="49"/>
      <x v="11"/>
      <x v="42"/>
    </i>
    <i>
      <x v="23"/>
      <x v="1"/>
      <x v="155"/>
      <x v="127"/>
    </i>
    <i r="1">
      <x v="20"/>
      <x v="98"/>
      <x v="209"/>
    </i>
    <i r="1">
      <x v="25"/>
      <x v="204"/>
      <x v="82"/>
    </i>
    <i>
      <x v="24"/>
      <x v="32"/>
      <x v="126"/>
      <x v="34"/>
    </i>
    <i>
      <x v="25"/>
      <x v="72"/>
      <x v="266"/>
      <x v="261"/>
    </i>
    <i>
      <x v="26"/>
      <x v="14"/>
      <x v="46"/>
      <x v="158"/>
    </i>
    <i>
      <x v="27"/>
      <x v="1"/>
      <x v="208"/>
      <x v="90"/>
    </i>
    <i r="1">
      <x v="14"/>
      <x v="55"/>
      <x v="169"/>
    </i>
    <i>
      <x v="28"/>
      <x v="52"/>
      <x v="115"/>
      <x v="282"/>
    </i>
    <i>
      <x v="29"/>
      <x v="1"/>
      <x v="188"/>
      <x v="28"/>
    </i>
    <i r="1">
      <x v="63"/>
      <x v="30"/>
      <x v="4"/>
    </i>
    <i>
      <x v="30"/>
      <x v="64"/>
      <x v="116"/>
      <x v="287"/>
    </i>
    <i>
      <x v="31"/>
      <x v="65"/>
      <x v="29"/>
      <x v="75"/>
    </i>
    <i>
      <x v="32"/>
      <x v="36"/>
      <x v="139"/>
      <x v="237"/>
    </i>
    <i>
      <x v="33"/>
      <x v="61"/>
      <x v="7"/>
      <x v="72"/>
    </i>
    <i>
      <x v="34"/>
      <x v="36"/>
      <x v="297"/>
      <x v="247"/>
    </i>
    <i>
      <x v="35"/>
      <x v="1"/>
      <x v="220"/>
      <x v="102"/>
    </i>
    <i r="1">
      <x v="14"/>
      <x v="51"/>
      <x v="281"/>
    </i>
    <i r="1">
      <x v="36"/>
      <x v="3"/>
      <x v="21"/>
    </i>
    <i r="2">
      <x v="122"/>
      <x v="223"/>
    </i>
    <i>
      <x v="36"/>
      <x v="14"/>
      <x v="47"/>
      <x v="159"/>
    </i>
    <i>
      <x v="37"/>
      <x v="36"/>
      <x v="132"/>
      <x v="231"/>
    </i>
    <i>
      <x v="38"/>
      <x v="72"/>
      <x v="268"/>
      <x v="265"/>
    </i>
    <i>
      <x v="39"/>
      <x v="54"/>
      <x v="79"/>
      <x v="186"/>
    </i>
    <i>
      <x v="40"/>
      <x v="76"/>
      <x v="24"/>
      <x v="18"/>
    </i>
    <i r="2">
      <x v="117"/>
      <x v="69"/>
    </i>
    <i>
      <x v="41"/>
      <x v="21"/>
      <x v="108"/>
      <x v="205"/>
    </i>
    <i>
      <x v="42"/>
      <x v="40"/>
      <x v="183"/>
      <x v="260"/>
    </i>
    <i>
      <x v="43"/>
      <x v="45"/>
      <x v="113"/>
      <x v="191"/>
    </i>
    <i>
      <x v="44"/>
      <x v="59"/>
      <x v="25"/>
      <x v="68"/>
    </i>
    <i>
      <x v="45"/>
      <x v="36"/>
      <x v="306"/>
      <x v="249"/>
    </i>
    <i>
      <x v="46"/>
      <x v="9"/>
      <x v="26"/>
      <x v="266"/>
    </i>
    <i>
      <x v="47"/>
      <x/>
      <x/>
      <x v="270"/>
    </i>
    <i r="1">
      <x v="1"/>
      <x v="217"/>
      <x v="99"/>
    </i>
    <i r="1">
      <x v="20"/>
      <x v="103"/>
      <x v="213"/>
    </i>
    <i r="1">
      <x v="26"/>
      <x v="2"/>
      <x v="84"/>
    </i>
    <i r="1">
      <x v="35"/>
      <x v="27"/>
      <x v="37"/>
    </i>
    <i r="2">
      <x v="190"/>
      <x v="38"/>
    </i>
    <i>
      <x v="48"/>
      <x v="1"/>
      <x v="236"/>
      <x v="119"/>
    </i>
    <i r="2">
      <x v="241"/>
      <x v="124"/>
    </i>
    <i r="2">
      <x v="245"/>
      <x v="129"/>
    </i>
    <i r="2">
      <x v="277"/>
      <x v="103"/>
    </i>
    <i r="2">
      <x v="278"/>
      <x v="275"/>
    </i>
    <i r="1">
      <x v="14"/>
      <x v="38"/>
      <x v="149"/>
    </i>
    <i r="2">
      <x v="42"/>
      <x v="153"/>
    </i>
    <i r="1">
      <x v="23"/>
      <x v="256"/>
      <x v="181"/>
    </i>
    <i r="1">
      <x v="24"/>
      <x v="8"/>
      <x v="88"/>
    </i>
    <i r="1">
      <x v="25"/>
      <x v="5"/>
      <x v="81"/>
    </i>
    <i r="2">
      <x v="180"/>
      <x v="83"/>
    </i>
    <i r="1">
      <x v="27"/>
      <x v="112"/>
      <x v="189"/>
    </i>
    <i r="1">
      <x v="34"/>
      <x v="309"/>
      <x v="140"/>
    </i>
    <i r="1">
      <x v="36"/>
      <x v="123"/>
      <x v="224"/>
    </i>
    <i r="2">
      <x v="291"/>
      <x v="232"/>
    </i>
    <i r="2">
      <x v="302"/>
      <x v="242"/>
    </i>
    <i r="1">
      <x v="54"/>
      <x v="75"/>
      <x v="184"/>
    </i>
    <i r="2">
      <x v="77"/>
      <x v="185"/>
    </i>
    <i r="1">
      <x v="55"/>
      <x v="156"/>
      <x v="33"/>
    </i>
    <i r="1">
      <x v="57"/>
      <x v="182"/>
      <x v="286"/>
    </i>
    <i r="1">
      <x v="73"/>
      <x v="67"/>
      <x v="20"/>
    </i>
    <i r="2">
      <x v="70"/>
      <x v="14"/>
    </i>
    <i>
      <x v="49"/>
      <x v="77"/>
      <x v="31"/>
      <x v="16"/>
    </i>
    <i r="2">
      <x v="32"/>
      <x/>
    </i>
    <i>
      <x v="50"/>
      <x v="62"/>
      <x v="269"/>
      <x v="267"/>
    </i>
    <i>
      <x v="51"/>
      <x v="38"/>
      <x v="177"/>
      <x v="73"/>
    </i>
    <i>
      <x v="52"/>
      <x v="1"/>
      <x v="187"/>
      <x v="27"/>
    </i>
    <i r="1">
      <x v="14"/>
      <x v="40"/>
      <x v="151"/>
    </i>
    <i r="1">
      <x v="36"/>
      <x v="305"/>
      <x v="233"/>
    </i>
    <i>
      <x v="53"/>
      <x v="36"/>
      <x v="286"/>
      <x v="252"/>
    </i>
    <i r="1">
      <x v="47"/>
      <x v="194"/>
      <x v="40"/>
    </i>
    <i r="2">
      <x v="195"/>
      <x v="41"/>
    </i>
    <i>
      <x v="54"/>
      <x v="7"/>
      <x v="19"/>
      <x v="203"/>
    </i>
    <i r="1">
      <x v="14"/>
      <x v="253"/>
      <x v="173"/>
    </i>
    <i r="1">
      <x v="36"/>
      <x v="138"/>
      <x v="57"/>
    </i>
    <i r="2">
      <x v="150"/>
      <x v="8"/>
    </i>
    <i r="1">
      <x v="39"/>
      <x v="189"/>
      <x v="29"/>
    </i>
    <i>
      <x v="55"/>
      <x v="4"/>
      <x v="13"/>
      <x v="85"/>
    </i>
    <i>
      <x v="56"/>
      <x v="12"/>
      <x v="37"/>
      <x v="9"/>
    </i>
    <i>
      <x v="57"/>
      <x v="14"/>
      <x v="58"/>
      <x v="175"/>
    </i>
    <i r="2">
      <x v="251"/>
      <x v="161"/>
    </i>
    <i>
      <x v="58"/>
      <x v="39"/>
      <x v="178"/>
      <x v="31"/>
    </i>
    <i>
      <x v="59"/>
      <x v="14"/>
      <x v="255"/>
      <x v="176"/>
    </i>
    <i r="1">
      <x v="16"/>
      <x v="184"/>
      <x v="2"/>
    </i>
    <i r="1">
      <x v="36"/>
      <x v="303"/>
      <x v="238"/>
    </i>
    <i>
      <x v="60"/>
      <x v="1"/>
      <x v="279"/>
      <x v="126"/>
    </i>
    <i r="1">
      <x v="14"/>
      <x v="54"/>
      <x v="168"/>
    </i>
    <i r="2">
      <x v="59"/>
      <x v="177"/>
    </i>
    <i r="1">
      <x v="36"/>
      <x v="289"/>
      <x v="241"/>
    </i>
    <i r="1">
      <x v="43"/>
      <x v="10"/>
      <x v="86"/>
    </i>
    <i>
      <x v="61"/>
      <x v="1"/>
      <x v="215"/>
      <x v="97"/>
    </i>
    <i>
      <x v="62"/>
      <x v="39"/>
      <x v="179"/>
      <x v="30"/>
    </i>
    <i r="1">
      <x v="44"/>
      <x v="89"/>
      <x v="87"/>
    </i>
    <i>
      <x v="63"/>
      <x v="1"/>
      <x v="237"/>
      <x v="120"/>
    </i>
    <i r="1">
      <x v="36"/>
      <x v="124"/>
      <x v="225"/>
    </i>
    <i>
      <x v="64"/>
      <x v="62"/>
      <x v="157"/>
      <x v="13"/>
    </i>
    <i>
      <x v="65"/>
      <x v="5"/>
      <x v="14"/>
      <x v="268"/>
    </i>
    <i>
      <x v="66"/>
      <x v="7"/>
      <x v="15"/>
      <x v="199"/>
    </i>
    <i>
      <x v="67"/>
      <x v="8"/>
      <x v="20"/>
      <x v="44"/>
    </i>
    <i>
      <x v="68"/>
      <x v="36"/>
      <x v="144"/>
      <x v="6"/>
    </i>
    <i>
      <x v="69"/>
      <x v="54"/>
      <x v="173"/>
      <x v="188"/>
    </i>
    <i>
      <x v="70"/>
      <x v="54"/>
      <x v="4"/>
      <x v="182"/>
    </i>
    <i r="2">
      <x v="68"/>
      <x v="183"/>
    </i>
    <i r="2">
      <x v="114"/>
      <x v="187"/>
    </i>
    <i>
      <x v="71"/>
      <x v="11"/>
      <x v="35"/>
      <x v="74"/>
    </i>
    <i>
      <x v="72"/>
      <x v="2"/>
      <x v="94"/>
      <x v="36"/>
    </i>
    <i>
      <x v="73"/>
      <x v="3"/>
      <x v="12"/>
      <x v="51"/>
    </i>
    <i r="1">
      <x v="6"/>
      <x v="9"/>
      <x v="1"/>
    </i>
    <i>
      <x v="74"/>
      <x v="8"/>
      <x v="22"/>
      <x v="45"/>
    </i>
    <i r="1">
      <x v="33"/>
      <x v="153"/>
      <x v="48"/>
    </i>
    <i>
      <x v="75"/>
      <x v="22"/>
      <x v="111"/>
      <x v="49"/>
    </i>
    <i>
      <x v="76"/>
      <x/>
      <x v="1"/>
      <x v="77"/>
    </i>
    <i>
      <x v="77"/>
      <x v="7"/>
      <x v="263"/>
      <x v="204"/>
    </i>
    <i r="1">
      <x v="14"/>
      <x v="41"/>
      <x v="152"/>
    </i>
    <i r="1">
      <x v="76"/>
      <x v="118"/>
      <x v="70"/>
    </i>
    <i>
      <x v="78"/>
      <x v="36"/>
      <x v="146"/>
      <x v="5"/>
    </i>
    <i>
      <x v="79"/>
      <x v="36"/>
      <x v="288"/>
      <x v="244"/>
    </i>
    <i r="1">
      <x v="73"/>
      <x v="78"/>
      <x v="54"/>
    </i>
    <i>
      <x v="80"/>
      <x v="1"/>
      <x v="223"/>
      <x v="105"/>
    </i>
    <i r="2">
      <x v="242"/>
      <x v="125"/>
    </i>
    <i r="1">
      <x v="14"/>
      <x v="250"/>
      <x v="160"/>
    </i>
    <i r="1">
      <x v="34"/>
      <x v="90"/>
      <x v="145"/>
    </i>
    <i>
      <x v="81"/>
      <x v="8"/>
      <x v="21"/>
      <x v="43"/>
    </i>
    <i>
      <x v="82"/>
      <x v="14"/>
      <x v="249"/>
      <x v="156"/>
    </i>
    <i r="1">
      <x v="73"/>
      <x v="76"/>
      <x v="7"/>
    </i>
    <i>
      <x v="83"/>
      <x v="36"/>
      <x v="130"/>
      <x v="229"/>
    </i>
    <i r="2">
      <x v="296"/>
      <x v="278"/>
    </i>
    <i>
      <x v="84"/>
      <x v="66"/>
      <x v="203"/>
      <x v="79"/>
    </i>
    <i>
      <x v="85"/>
      <x v="22"/>
      <x v="174"/>
      <x v="3"/>
    </i>
    <i r="1">
      <x v="36"/>
      <x v="307"/>
      <x v="235"/>
    </i>
    <i r="1">
      <x v="69"/>
      <x v="257"/>
      <x v="192"/>
    </i>
    <i>
      <x v="86"/>
      <x v="7"/>
      <x v="18"/>
      <x v="202"/>
    </i>
    <i>
      <x v="87"/>
      <x v="7"/>
      <x v="16"/>
      <x v="200"/>
    </i>
    <i r="1">
      <x v="20"/>
      <x v="104"/>
      <x v="214"/>
    </i>
    <i r="1">
      <x v="22"/>
      <x v="109"/>
      <x v="46"/>
    </i>
    <i r="1">
      <x v="31"/>
      <x v="121"/>
      <x v="206"/>
    </i>
    <i r="1">
      <x v="36"/>
      <x v="140"/>
      <x v="17"/>
    </i>
    <i>
      <x v="88"/>
      <x v="28"/>
      <x v="119"/>
      <x v="50"/>
    </i>
    <i>
      <x v="89"/>
      <x v="1"/>
      <x v="244"/>
      <x v="128"/>
    </i>
    <i r="1">
      <x v="14"/>
      <x v="252"/>
      <x v="172"/>
    </i>
    <i r="1">
      <x v="34"/>
      <x v="88"/>
      <x v="144"/>
    </i>
    <i r="1">
      <x v="36"/>
      <x v="308"/>
      <x v="234"/>
    </i>
    <i r="1">
      <x v="53"/>
      <x v="154"/>
      <x v="283"/>
    </i>
    <i>
      <x v="90"/>
      <x v="56"/>
      <x v="36"/>
      <x v="65"/>
    </i>
    <i>
      <x v="91"/>
      <x v="8"/>
      <x v="23"/>
      <x v="11"/>
    </i>
    <i r="1">
      <x v="14"/>
      <x v="310"/>
      <x v="178"/>
    </i>
    <i>
      <x v="92"/>
      <x v="36"/>
      <x v="265"/>
      <x v="239"/>
    </i>
    <i>
      <x v="93"/>
      <x v="15"/>
      <x v="84"/>
      <x v="259"/>
    </i>
    <i>
      <x v="94"/>
      <x v="72"/>
      <x v="65"/>
      <x v="263"/>
    </i>
    <i>
      <x v="95"/>
      <x v="46"/>
      <x v="191"/>
      <x v="207"/>
    </i>
    <i>
      <x v="96"/>
      <x v="67"/>
      <x v="246"/>
      <x v="130"/>
    </i>
    <i>
      <x v="97"/>
      <x v="68"/>
      <x v="247"/>
      <x v="131"/>
    </i>
    <i>
      <x v="98"/>
      <x v="70"/>
      <x v="260"/>
      <x v="196"/>
    </i>
    <i>
      <x v="99"/>
      <x v="71"/>
      <x v="264"/>
      <x v="217"/>
    </i>
  </rowItems>
  <colFields count="1">
    <field x="-2"/>
  </colFields>
  <colItems count="2">
    <i>
      <x/>
    </i>
    <i i="1">
      <x v="1"/>
    </i>
  </colItems>
  <dataFields count="2">
    <dataField name="# Salas" fld="6" baseField="0" baseItem="0"/>
    <dataField name="Suma de Capacidad Esp" fld="7" baseField="0" baseItem="0"/>
  </dataFields>
  <formats count="35">
    <format dxfId="20">
      <pivotArea field="1" type="button" dataOnly="0" labelOnly="1" outline="0" axis="axisRow" fieldPosition="1"/>
    </format>
    <format dxfId="21">
      <pivotArea dataOnly="0" labelOnly="1" outline="0" fieldPosition="0">
        <references count="1">
          <reference field="1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22">
      <pivotArea dataOnly="0" labelOnly="1" outline="0" fieldPosition="0">
        <references count="1">
          <reference field="1" count="9"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23">
      <pivotArea dataOnly="0" labelOnly="1" grandRow="1" outline="0" fieldPosition="0"/>
    </format>
    <format dxfId="24">
      <pivotArea type="all" dataOnly="0" outline="0" fieldPosition="0"/>
    </format>
    <format dxfId="25">
      <pivotArea field="1" type="button" dataOnly="0" labelOnly="1" outline="0" axis="axisRow" fieldPosition="1"/>
    </format>
    <format dxfId="26">
      <pivotArea dataOnly="0" labelOnly="1" outline="0" fieldPosition="0">
        <references count="1">
          <reference field="1" count="4">
            <x v="8"/>
            <x v="14"/>
            <x v="28"/>
            <x v="37"/>
          </reference>
        </references>
      </pivotArea>
    </format>
    <format dxfId="27">
      <pivotArea dataOnly="0" labelOnly="1" grandRow="1" outline="0" fieldPosition="0"/>
    </format>
    <format dxfId="28">
      <pivotArea type="all" dataOnly="0" outline="0" fieldPosition="0"/>
    </format>
    <format dxfId="29">
      <pivotArea field="1" type="button" dataOnly="0" labelOnly="1" outline="0" axis="axisRow" fieldPosition="1"/>
    </format>
    <format dxfId="30">
      <pivotArea dataOnly="0" labelOnly="1" outline="0" fieldPosition="0">
        <references count="1">
          <reference field="1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31">
      <pivotArea dataOnly="0" labelOnly="1" outline="0" fieldPosition="0">
        <references count="1">
          <reference field="1" count="9"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32">
      <pivotArea dataOnly="0" labelOnly="1" grandRow="1" outline="0" fieldPosition="0"/>
    </format>
    <format dxfId="33">
      <pivotArea field="1" type="button" dataOnly="0" labelOnly="1" outline="0" axis="axisRow" fieldPosition="1"/>
    </format>
    <format dxfId="34">
      <pivotArea field="4" type="button" dataOnly="0" labelOnly="1" outline="0" axis="axisRow" fieldPosition="0"/>
    </format>
    <format dxfId="35">
      <pivotArea field="1" type="button" dataOnly="0" labelOnly="1" outline="0" axis="axisRow" fieldPosition="1"/>
    </format>
    <format dxfId="36">
      <pivotArea field="2" type="button" dataOnly="0" labelOnly="1" outline="0" axis="axisRow" fieldPosition="2"/>
    </format>
    <format dxfId="37">
      <pivotArea dataOnly="0" labelOnly="1" outline="0" axis="axisValues" fieldPosition="0"/>
    </format>
    <format dxfId="38">
      <pivotArea field="5" type="button" dataOnly="0" labelOnly="1" outline="0" axis="axisRow" fieldPosition="3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field="4" type="button" dataOnly="0" labelOnly="1" outline="0" axis="axisRow" fieldPosition="0"/>
    </format>
    <format dxfId="41">
      <pivotArea field="1" type="button" dataOnly="0" labelOnly="1" outline="0" axis="axisRow" fieldPosition="1"/>
    </format>
    <format dxfId="42">
      <pivotArea field="2" type="button" dataOnly="0" labelOnly="1" outline="0" axis="axisRow" fieldPosition="2"/>
    </format>
    <format dxfId="43">
      <pivotArea field="5" type="button" dataOnly="0" labelOnly="1" outline="0" axis="axisRow" fieldPosition="3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field="4" type="button" dataOnly="0" labelOnly="1" outline="0" axis="axisRow" fieldPosition="0"/>
    </format>
    <format dxfId="46">
      <pivotArea field="1" type="button" dataOnly="0" labelOnly="1" outline="0" axis="axisRow" fieldPosition="1"/>
    </format>
    <format dxfId="47">
      <pivotArea field="2" type="button" dataOnly="0" labelOnly="1" outline="0" axis="axisRow" fieldPosition="2"/>
    </format>
    <format dxfId="48">
      <pivotArea field="5" type="button" dataOnly="0" labelOnly="1" outline="0" axis="axisRow" fieldPosition="3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4" type="button" dataOnly="0" labelOnly="1" outline="0" axis="axisRow" fieldPosition="0"/>
    </format>
    <format dxfId="51">
      <pivotArea field="1" type="button" dataOnly="0" labelOnly="1" outline="0" axis="axisRow" fieldPosition="1"/>
    </format>
    <format dxfId="52">
      <pivotArea field="2" type="button" dataOnly="0" labelOnly="1" outline="0" axis="axisRow" fieldPosition="2"/>
    </format>
    <format dxfId="53">
      <pivotArea field="5" type="button" dataOnly="0" labelOnly="1" outline="0" axis="axisRow" fieldPosition="3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lejo_Municipio" xr10:uid="{C5A0C9D6-65E7-49D0-8DF4-F9B1E4B038E5}" sourceName="Complejo Municipio">
  <pivotTables>
    <pivotTable tabId="3" name="TablaDinámica2"/>
  </pivotTables>
  <data>
    <tabular pivotCacheId="1072432442">
      <items count="100">
        <i x="91" s="1"/>
        <i x="79" s="1"/>
        <i x="73" s="1"/>
        <i x="71" s="1"/>
        <i x="68" s="1"/>
        <i x="18" s="1"/>
        <i x="83" s="1"/>
        <i x="47" s="1"/>
        <i x="9" s="1"/>
        <i x="60" s="1"/>
        <i x="2" s="1"/>
        <i x="16" s="1"/>
        <i x="38" s="1"/>
        <i x="13" s="1"/>
        <i x="80" s="1"/>
        <i x="14" s="1"/>
        <i x="31" s="1"/>
        <i x="39" s="1"/>
        <i x="52" s="1"/>
        <i x="87" s="1"/>
        <i x="11" s="1"/>
        <i x="81" s="1"/>
        <i x="26" s="1"/>
        <i x="29" s="1"/>
        <i x="28" s="1"/>
        <i x="76" s="1"/>
        <i x="46" s="1"/>
        <i x="7" s="1"/>
        <i x="24" s="1"/>
        <i x="77" s="1"/>
        <i x="54" s="1"/>
        <i x="15" s="1"/>
        <i x="64" s="1"/>
        <i x="10" s="1"/>
        <i x="98" s="1"/>
        <i x="99" s="1"/>
        <i x="33" s="1"/>
        <i x="92" s="1"/>
        <i x="37" s="1"/>
        <i x="19" s="1"/>
        <i x="55" s="1"/>
        <i x="32" s="1"/>
        <i x="78" s="1"/>
        <i x="61" s="1"/>
        <i x="89" s="1"/>
        <i x="70" s="1"/>
        <i x="44" s="1"/>
        <i x="84" s="1"/>
        <i x="88" s="1"/>
        <i x="41" s="1"/>
        <i x="85" s="1"/>
        <i x="0" s="1"/>
        <i x="6" s="1"/>
        <i x="90" s="1"/>
        <i x="95" s="1"/>
        <i x="93" s="1"/>
        <i x="8" s="1"/>
        <i x="35" s="1"/>
        <i x="23" s="1"/>
        <i x="3" s="1"/>
        <i x="43" s="1"/>
        <i x="56" s="1"/>
        <i x="22" s="1"/>
        <i x="40" s="1"/>
        <i x="4" s="1"/>
        <i x="17" s="1"/>
        <i x="5" s="1"/>
        <i x="20" s="1"/>
        <i x="94" s="1"/>
        <i x="96" s="1"/>
        <i x="82" s="1"/>
        <i x="67" s="1"/>
        <i x="48" s="1"/>
        <i x="72" s="1"/>
        <i x="62" s="1"/>
        <i x="59" s="1"/>
        <i x="97" s="1"/>
        <i x="25" s="1"/>
        <i x="66" s="1"/>
        <i x="50" s="1"/>
        <i x="63" s="1"/>
        <i x="1" s="1"/>
        <i x="53" s="1"/>
        <i x="27" s="1"/>
        <i x="36" s="1"/>
        <i x="12" s="1"/>
        <i x="49" s="1"/>
        <i x="57" s="1"/>
        <i x="30" s="1"/>
        <i x="45" s="1"/>
        <i x="42" s="1"/>
        <i x="69" s="1"/>
        <i x="58" s="1"/>
        <i x="65" s="1"/>
        <i x="21" s="1"/>
        <i x="86" s="1"/>
        <i x="51" s="1"/>
        <i x="34" s="1"/>
        <i x="74" s="1"/>
        <i x="7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lejo_Departamento" xr10:uid="{92006796-49FF-4262-A1F7-BC6587A2F8B4}" sourceName="Complejo Departamento">
  <pivotTables>
    <pivotTable tabId="3" name="TablaDinámica2"/>
  </pivotTables>
  <data>
    <tabular pivotCacheId="1072432442">
      <items count="29">
        <i x="6" s="1"/>
        <i x="8" s="1"/>
        <i x="2" s="1"/>
        <i x="11" s="1"/>
        <i x="16" s="1"/>
        <i x="0" s="1"/>
        <i x="21" s="1"/>
        <i x="20" s="1"/>
        <i x="14" s="1"/>
        <i x="22" s="1"/>
        <i x="25" s="1"/>
        <i x="7" s="1"/>
        <i x="9" s="1"/>
        <i x="23" s="1"/>
        <i x="5" s="1"/>
        <i x="26" s="1"/>
        <i x="19" s="1"/>
        <i x="15" s="1"/>
        <i x="18" s="1"/>
        <i x="3" s="1"/>
        <i x="27" s="1"/>
        <i x="13" s="1"/>
        <i x="4" s="1"/>
        <i x="24" s="1"/>
        <i x="12" s="1"/>
        <i x="17" s="1"/>
        <i x="1" s="1"/>
        <i x="10" s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xhibidor_Nombre_Comercial" xr10:uid="{0CD11A05-EB3F-4E9E-9627-CB8E3CC48A00}" sourceName="Exhibidor Nombre Comercial">
  <pivotTables>
    <pivotTable tabId="6" name="TablaDinámica2"/>
  </pivotTables>
  <data>
    <tabular pivotCacheId="1072432442">
      <items count="78">
        <i x="0" s="1"/>
        <i x="52" s="1"/>
        <i x="68" s="1"/>
        <i x="7" s="1"/>
        <i x="4" s="1"/>
        <i x="17" s="1"/>
        <i x="40" s="1"/>
        <i x="3" s="1"/>
        <i x="57" s="1"/>
        <i x="56" s="1"/>
        <i x="46" s="1"/>
        <i x="54" s="1"/>
        <i x="71" s="1"/>
        <i x="39" s="1"/>
        <i x="42" s="1"/>
        <i x="29" s="1"/>
        <i x="61" s="1"/>
        <i x="16" s="1"/>
        <i x="1" s="1"/>
        <i x="30" s="1"/>
        <i x="72" s="1"/>
        <i x="62" s="1"/>
        <i x="23" s="1"/>
        <i x="31" s="1"/>
        <i x="32" s="1"/>
        <i x="73" s="1"/>
        <i x="49" s="1"/>
        <i x="60" s="1"/>
        <i x="19" s="1"/>
        <i x="59" s="1"/>
        <i x="15" s="1"/>
        <i x="13" s="1"/>
        <i x="64" s="1"/>
        <i x="45" s="1"/>
        <i x="43" s="1"/>
        <i x="34" s="1"/>
        <i x="33" s="1"/>
        <i x="22" s="1"/>
        <i x="9" s="1"/>
        <i x="6" s="1"/>
        <i x="53" s="1"/>
        <i x="2" s="1"/>
        <i x="10" s="1"/>
        <i x="66" s="1"/>
        <i x="58" s="1"/>
        <i x="27" s="1"/>
        <i x="38" s="1"/>
        <i x="37" s="1"/>
        <i x="74" s="1"/>
        <i x="55" s="1"/>
        <i x="36" s="1"/>
        <i x="65" s="1"/>
        <i x="75" s="1"/>
        <i x="67" s="1"/>
        <i x="11" s="1"/>
        <i x="12" s="1"/>
        <i x="25" s="1"/>
        <i x="44" s="1"/>
        <i x="20" s="1"/>
        <i x="14" s="1"/>
        <i x="35" s="1"/>
        <i x="70" s="1"/>
        <i x="28" s="1"/>
        <i x="18" s="1"/>
        <i x="21" s="1"/>
        <i x="63" s="1"/>
        <i x="48" s="1"/>
        <i x="47" s="1"/>
        <i x="69" s="1"/>
        <i x="8" s="1"/>
        <i x="26" s="1"/>
        <i x="24" s="1"/>
        <i x="50" s="1"/>
        <i x="5" s="1"/>
        <i x="51" s="1"/>
        <i x="41" s="1"/>
        <i x="77" s="1" nd="1"/>
        <i x="7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xhibidor Nombre Comercial" xr10:uid="{D4E58BF0-007A-4C70-8D5A-241BB43D2AEC}" cache="SegmentaciónDeDatos_Exhibidor_Nombre_Comercial" caption="Exhibidor Nombre Comercial" startItem="20" columnCount="4" style="SlicerStyleLight5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jo Municipio" xr10:uid="{6E2C2C51-17E1-4561-A431-57A7EE4710C8}" cache="SegmentaciónDeDatos_Complejo_Municipio" caption="Complejo Municipio" columnCount="4" style="SlicerStyleLight5" rowHeight="247650"/>
  <slicer name="Complejo Departamento" xr10:uid="{D4224C2F-E0A9-4F47-97AD-E45AF4802EBC}" cache="SegmentaciónDeDatos_Complejo_Departamento" caption="Complejo Departamento" columnCount="4" style="SlicerStyleLight5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13A17-1610-4FC3-A87C-98E84E3C3FB5}" name="Tabla1" displayName="Tabla1" ref="A2:H272" totalsRowCount="1" headerRowDxfId="19" dataDxfId="18" headerRowBorderDxfId="16" tableBorderDxfId="17">
  <autoFilter ref="A2:H2" xr:uid="{87113A17-1610-4FC3-A87C-98E84E3C3FB5}"/>
  <sortState xmlns:xlrd2="http://schemas.microsoft.com/office/spreadsheetml/2017/richdata2" ref="A3:H271">
    <sortCondition descending="1" ref="D2"/>
  </sortState>
  <tableColumns count="8">
    <tableColumn id="1" xr3:uid="{0CBD123B-C306-4117-97A4-FD71E2FED29C}" name="EXHIBIDOR" dataDxfId="14" totalsRowDxfId="15"/>
    <tableColumn id="2" xr3:uid="{4E494773-994B-4288-B0D9-4F38C576CCE7}" name="Exhibidor Nombre Comercial" dataDxfId="12" totalsRowDxfId="13"/>
    <tableColumn id="5" xr3:uid="{C8BD64B2-A4C2-47CD-88C1-45975F34FA98}" name="Complejo Nombre" dataDxfId="10" totalsRowDxfId="11"/>
    <tableColumn id="6" xr3:uid="{03C5BEB7-187D-470F-A0AA-1970E284CE67}" name="Complejo Departamento" dataDxfId="8" totalsRowDxfId="9"/>
    <tableColumn id="7" xr3:uid="{AD196591-A747-41FA-9F01-73A0BBC50C2F}" name="Complejo Municipio" dataDxfId="6" totalsRowDxfId="7"/>
    <tableColumn id="8" xr3:uid="{760F1E13-C92D-43A4-AE7B-2AE7719019A6}" name="Complejo Dirección" dataDxfId="4" totalsRowDxfId="5"/>
    <tableColumn id="9" xr3:uid="{133B6BF0-78F9-4AC1-AEE3-EA5FDD2B472E}" name="No Salas" totalsRowFunction="sum" dataDxfId="2" totalsRowDxfId="3"/>
    <tableColumn id="10" xr3:uid="{455A43B5-EF45-498E-9B35-24504A5CB3E3}" name="Capacidad Esp" totalsRowFunction="sum" dataDxfId="0" totalsRow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6CE0-F8C3-4F05-82A8-389758A1B648}">
  <dimension ref="A1:I272"/>
  <sheetViews>
    <sheetView showGridLines="0" tabSelected="1" zoomScale="70" zoomScaleNormal="70" workbookViewId="0">
      <pane ySplit="2" topLeftCell="A160" activePane="bottomLeft" state="frozen"/>
      <selection pane="bottomLeft" activeCell="D168" sqref="D168:D222"/>
      <selection activeCell="A2" sqref="A2"/>
    </sheetView>
  </sheetViews>
  <sheetFormatPr defaultColWidth="11.5703125" defaultRowHeight="13.5"/>
  <cols>
    <col min="1" max="1" width="45.5703125" style="8" customWidth="1"/>
    <col min="2" max="2" width="28.28515625" style="8" customWidth="1"/>
    <col min="3" max="3" width="25.42578125" style="8" customWidth="1"/>
    <col min="4" max="4" width="19.85546875" style="8" customWidth="1"/>
    <col min="5" max="5" width="46" style="8" bestFit="1" customWidth="1"/>
    <col min="6" max="6" width="63.85546875" style="8" bestFit="1" customWidth="1"/>
    <col min="7" max="7" width="11.5703125" style="8"/>
    <col min="8" max="8" width="15.42578125" style="8" customWidth="1"/>
    <col min="9" max="9" width="33.42578125" style="8" customWidth="1"/>
    <col min="10" max="16384" width="11.5703125" style="8"/>
  </cols>
  <sheetData>
    <row r="1" spans="1:9" ht="25.5">
      <c r="I1" s="37" t="s">
        <v>0</v>
      </c>
    </row>
    <row r="2" spans="1:9" customFormat="1" ht="30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2" t="s">
        <v>8</v>
      </c>
      <c r="I2" s="38" t="s">
        <v>9</v>
      </c>
    </row>
    <row r="3" spans="1:9" ht="1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10</v>
      </c>
      <c r="H3" s="1">
        <v>1726</v>
      </c>
    </row>
    <row r="4" spans="1:9" ht="15">
      <c r="A4" s="1" t="s">
        <v>10</v>
      </c>
      <c r="B4" s="1" t="s">
        <v>11</v>
      </c>
      <c r="C4" s="1" t="s">
        <v>16</v>
      </c>
      <c r="D4" s="1" t="s">
        <v>13</v>
      </c>
      <c r="E4" s="1" t="s">
        <v>14</v>
      </c>
      <c r="F4" s="1" t="s">
        <v>17</v>
      </c>
      <c r="G4" s="1">
        <v>12</v>
      </c>
      <c r="H4" s="1">
        <v>1818</v>
      </c>
    </row>
    <row r="5" spans="1:9" ht="15">
      <c r="A5" s="1" t="s">
        <v>10</v>
      </c>
      <c r="B5" s="1" t="s">
        <v>11</v>
      </c>
      <c r="C5" s="1" t="s">
        <v>18</v>
      </c>
      <c r="D5" s="1" t="s">
        <v>13</v>
      </c>
      <c r="E5" s="1" t="s">
        <v>14</v>
      </c>
      <c r="F5" s="1" t="s">
        <v>19</v>
      </c>
      <c r="G5" s="1">
        <v>6</v>
      </c>
      <c r="H5" s="1">
        <v>1153</v>
      </c>
      <c r="I5" s="9"/>
    </row>
    <row r="6" spans="1:9" ht="15">
      <c r="A6" s="1" t="s">
        <v>10</v>
      </c>
      <c r="B6" s="1" t="s">
        <v>11</v>
      </c>
      <c r="C6" s="1" t="s">
        <v>20</v>
      </c>
      <c r="D6" s="1" t="s">
        <v>13</v>
      </c>
      <c r="E6" s="1" t="s">
        <v>14</v>
      </c>
      <c r="F6" s="1" t="s">
        <v>21</v>
      </c>
      <c r="G6" s="1">
        <v>8</v>
      </c>
      <c r="H6" s="1">
        <v>1804</v>
      </c>
    </row>
    <row r="7" spans="1:9" ht="15">
      <c r="A7" s="1" t="s">
        <v>10</v>
      </c>
      <c r="B7" s="1" t="s">
        <v>11</v>
      </c>
      <c r="C7" s="1" t="s">
        <v>22</v>
      </c>
      <c r="D7" s="1" t="s">
        <v>13</v>
      </c>
      <c r="E7" s="1" t="s">
        <v>14</v>
      </c>
      <c r="F7" s="1" t="s">
        <v>23</v>
      </c>
      <c r="G7" s="1">
        <v>5</v>
      </c>
      <c r="H7" s="1">
        <v>1090</v>
      </c>
    </row>
    <row r="8" spans="1:9" ht="15">
      <c r="A8" s="1" t="s">
        <v>24</v>
      </c>
      <c r="B8" s="1" t="s">
        <v>25</v>
      </c>
      <c r="C8" s="1" t="s">
        <v>25</v>
      </c>
      <c r="D8" s="1" t="s">
        <v>13</v>
      </c>
      <c r="E8" s="1" t="s">
        <v>14</v>
      </c>
      <c r="F8" s="1" t="s">
        <v>26</v>
      </c>
      <c r="G8" s="1">
        <v>1</v>
      </c>
      <c r="H8" s="1">
        <v>250</v>
      </c>
    </row>
    <row r="9" spans="1:9" ht="15">
      <c r="A9" s="1" t="s">
        <v>27</v>
      </c>
      <c r="B9" s="1" t="s">
        <v>28</v>
      </c>
      <c r="C9" s="1" t="s">
        <v>29</v>
      </c>
      <c r="D9" s="1" t="s">
        <v>13</v>
      </c>
      <c r="E9" s="1" t="s">
        <v>14</v>
      </c>
      <c r="F9" s="1" t="s">
        <v>30</v>
      </c>
      <c r="G9" s="1">
        <v>1</v>
      </c>
      <c r="H9" s="1">
        <v>108</v>
      </c>
    </row>
    <row r="10" spans="1:9" ht="15">
      <c r="A10" s="1" t="s">
        <v>31</v>
      </c>
      <c r="B10" s="1" t="s">
        <v>32</v>
      </c>
      <c r="C10" s="1" t="s">
        <v>33</v>
      </c>
      <c r="D10" s="1" t="s">
        <v>13</v>
      </c>
      <c r="E10" s="1" t="s">
        <v>34</v>
      </c>
      <c r="F10" s="1" t="s">
        <v>35</v>
      </c>
      <c r="G10" s="1">
        <v>4</v>
      </c>
      <c r="H10" s="1">
        <v>743</v>
      </c>
    </row>
    <row r="11" spans="1:9" ht="15">
      <c r="A11" s="1" t="s">
        <v>31</v>
      </c>
      <c r="B11" s="1" t="s">
        <v>32</v>
      </c>
      <c r="C11" s="1" t="s">
        <v>36</v>
      </c>
      <c r="D11" s="1" t="s">
        <v>13</v>
      </c>
      <c r="E11" s="1" t="s">
        <v>37</v>
      </c>
      <c r="F11" s="1" t="s">
        <v>38</v>
      </c>
      <c r="G11" s="1">
        <v>6</v>
      </c>
      <c r="H11" s="1">
        <v>1021</v>
      </c>
    </row>
    <row r="12" spans="1:9" ht="15">
      <c r="A12" s="1" t="s">
        <v>31</v>
      </c>
      <c r="B12" s="1" t="s">
        <v>32</v>
      </c>
      <c r="C12" s="1" t="s">
        <v>39</v>
      </c>
      <c r="D12" s="1" t="s">
        <v>13</v>
      </c>
      <c r="E12" s="1" t="s">
        <v>40</v>
      </c>
      <c r="F12" s="1" t="s">
        <v>41</v>
      </c>
      <c r="G12" s="1">
        <v>4</v>
      </c>
      <c r="H12" s="1">
        <v>614</v>
      </c>
    </row>
    <row r="13" spans="1:9" ht="15">
      <c r="A13" s="1" t="s">
        <v>31</v>
      </c>
      <c r="B13" s="1" t="s">
        <v>32</v>
      </c>
      <c r="C13" s="1" t="s">
        <v>42</v>
      </c>
      <c r="D13" s="1" t="s">
        <v>13</v>
      </c>
      <c r="E13" s="1" t="s">
        <v>14</v>
      </c>
      <c r="F13" s="1" t="s">
        <v>43</v>
      </c>
      <c r="G13" s="1">
        <v>8</v>
      </c>
      <c r="H13" s="1">
        <v>870</v>
      </c>
    </row>
    <row r="14" spans="1:9" ht="15">
      <c r="A14" s="1" t="s">
        <v>31</v>
      </c>
      <c r="B14" s="1" t="s">
        <v>32</v>
      </c>
      <c r="C14" s="1" t="s">
        <v>44</v>
      </c>
      <c r="D14" s="1" t="s">
        <v>13</v>
      </c>
      <c r="E14" s="1" t="s">
        <v>14</v>
      </c>
      <c r="F14" s="1" t="s">
        <v>45</v>
      </c>
      <c r="G14" s="1">
        <v>6</v>
      </c>
      <c r="H14" s="1">
        <v>675</v>
      </c>
    </row>
    <row r="15" spans="1:9" ht="15">
      <c r="A15" s="1" t="s">
        <v>31</v>
      </c>
      <c r="B15" s="1" t="s">
        <v>32</v>
      </c>
      <c r="C15" s="1" t="s">
        <v>46</v>
      </c>
      <c r="D15" s="1" t="s">
        <v>13</v>
      </c>
      <c r="E15" s="1" t="s">
        <v>34</v>
      </c>
      <c r="F15" s="1" t="s">
        <v>47</v>
      </c>
      <c r="G15" s="1">
        <v>5</v>
      </c>
      <c r="H15" s="1">
        <v>781</v>
      </c>
    </row>
    <row r="16" spans="1:9" ht="15">
      <c r="A16" s="1" t="s">
        <v>31</v>
      </c>
      <c r="B16" s="1" t="s">
        <v>32</v>
      </c>
      <c r="C16" s="1" t="s">
        <v>48</v>
      </c>
      <c r="D16" s="1" t="s">
        <v>13</v>
      </c>
      <c r="E16" s="1" t="s">
        <v>49</v>
      </c>
      <c r="F16" s="1" t="s">
        <v>50</v>
      </c>
      <c r="G16" s="1">
        <v>4</v>
      </c>
      <c r="H16" s="1">
        <v>691</v>
      </c>
    </row>
    <row r="17" spans="1:8" ht="15">
      <c r="A17" s="1" t="s">
        <v>31</v>
      </c>
      <c r="B17" s="1" t="s">
        <v>32</v>
      </c>
      <c r="C17" s="1" t="s">
        <v>51</v>
      </c>
      <c r="D17" s="1" t="s">
        <v>13</v>
      </c>
      <c r="E17" s="1" t="s">
        <v>52</v>
      </c>
      <c r="F17" s="1" t="s">
        <v>53</v>
      </c>
      <c r="G17" s="1">
        <v>4</v>
      </c>
      <c r="H17" s="1">
        <v>576</v>
      </c>
    </row>
    <row r="18" spans="1:8" ht="15">
      <c r="A18" s="1" t="s">
        <v>31</v>
      </c>
      <c r="B18" s="1" t="s">
        <v>32</v>
      </c>
      <c r="C18" s="1" t="s">
        <v>54</v>
      </c>
      <c r="D18" s="1" t="s">
        <v>13</v>
      </c>
      <c r="E18" s="1" t="s">
        <v>14</v>
      </c>
      <c r="F18" s="1" t="s">
        <v>55</v>
      </c>
      <c r="G18" s="1">
        <v>7</v>
      </c>
      <c r="H18" s="1">
        <v>1371</v>
      </c>
    </row>
    <row r="19" spans="1:8" ht="15">
      <c r="A19" s="1" t="s">
        <v>56</v>
      </c>
      <c r="B19" s="1" t="s">
        <v>57</v>
      </c>
      <c r="C19" s="1" t="s">
        <v>58</v>
      </c>
      <c r="D19" s="1" t="s">
        <v>13</v>
      </c>
      <c r="E19" s="1" t="s">
        <v>14</v>
      </c>
      <c r="F19" s="1" t="s">
        <v>59</v>
      </c>
      <c r="G19" s="1">
        <v>8</v>
      </c>
      <c r="H19" s="1">
        <v>1349</v>
      </c>
    </row>
    <row r="20" spans="1:8" ht="15">
      <c r="A20" s="1" t="s">
        <v>56</v>
      </c>
      <c r="B20" s="1" t="s">
        <v>57</v>
      </c>
      <c r="C20" s="1" t="s">
        <v>60</v>
      </c>
      <c r="D20" s="1" t="s">
        <v>13</v>
      </c>
      <c r="E20" s="1" t="s">
        <v>14</v>
      </c>
      <c r="F20" s="1" t="s">
        <v>61</v>
      </c>
      <c r="G20" s="1">
        <v>6</v>
      </c>
      <c r="H20" s="1">
        <v>890</v>
      </c>
    </row>
    <row r="21" spans="1:8" ht="15">
      <c r="A21" s="1" t="s">
        <v>56</v>
      </c>
      <c r="B21" s="1" t="s">
        <v>57</v>
      </c>
      <c r="C21" s="1" t="s">
        <v>62</v>
      </c>
      <c r="D21" s="1" t="s">
        <v>13</v>
      </c>
      <c r="E21" s="1" t="s">
        <v>63</v>
      </c>
      <c r="F21" s="1" t="s">
        <v>64</v>
      </c>
      <c r="G21" s="1">
        <v>4</v>
      </c>
      <c r="H21" s="1">
        <v>737</v>
      </c>
    </row>
    <row r="22" spans="1:8" ht="15">
      <c r="A22" s="1" t="s">
        <v>56</v>
      </c>
      <c r="B22" s="1" t="s">
        <v>57</v>
      </c>
      <c r="C22" s="1" t="s">
        <v>65</v>
      </c>
      <c r="D22" s="1" t="s">
        <v>13</v>
      </c>
      <c r="E22" s="1" t="s">
        <v>63</v>
      </c>
      <c r="F22" s="1" t="s">
        <v>66</v>
      </c>
      <c r="G22" s="1">
        <v>4</v>
      </c>
      <c r="H22" s="1">
        <v>994</v>
      </c>
    </row>
    <row r="23" spans="1:8" ht="15">
      <c r="A23" s="1" t="s">
        <v>67</v>
      </c>
      <c r="B23" s="1" t="s">
        <v>68</v>
      </c>
      <c r="C23" s="1" t="s">
        <v>68</v>
      </c>
      <c r="D23" s="1" t="s">
        <v>13</v>
      </c>
      <c r="E23" s="1" t="s">
        <v>14</v>
      </c>
      <c r="F23" s="1" t="s">
        <v>69</v>
      </c>
      <c r="G23" s="1">
        <v>4</v>
      </c>
      <c r="H23" s="1">
        <v>519</v>
      </c>
    </row>
    <row r="24" spans="1:8" ht="15">
      <c r="A24" s="1" t="s">
        <v>70</v>
      </c>
      <c r="B24" s="1" t="s">
        <v>71</v>
      </c>
      <c r="C24" s="1" t="s">
        <v>72</v>
      </c>
      <c r="D24" s="1" t="s">
        <v>13</v>
      </c>
      <c r="E24" s="1" t="s">
        <v>14</v>
      </c>
      <c r="F24" s="1" t="s">
        <v>73</v>
      </c>
      <c r="G24" s="1">
        <v>14</v>
      </c>
      <c r="H24" s="1">
        <v>2076</v>
      </c>
    </row>
    <row r="25" spans="1:8" ht="15">
      <c r="A25" s="1" t="s">
        <v>74</v>
      </c>
      <c r="B25" s="1" t="s">
        <v>32</v>
      </c>
      <c r="C25" s="1" t="s">
        <v>75</v>
      </c>
      <c r="D25" s="1" t="s">
        <v>13</v>
      </c>
      <c r="E25" s="1" t="s">
        <v>14</v>
      </c>
      <c r="F25" s="1" t="s">
        <v>76</v>
      </c>
      <c r="G25" s="1">
        <v>7</v>
      </c>
      <c r="H25" s="1">
        <v>1230</v>
      </c>
    </row>
    <row r="26" spans="1:8" ht="15">
      <c r="A26" s="1" t="s">
        <v>77</v>
      </c>
      <c r="B26" s="1" t="s">
        <v>78</v>
      </c>
      <c r="C26" s="1" t="s">
        <v>78</v>
      </c>
      <c r="D26" s="1" t="s">
        <v>13</v>
      </c>
      <c r="E26" s="1" t="s">
        <v>37</v>
      </c>
      <c r="F26" s="1" t="s">
        <v>79</v>
      </c>
      <c r="G26" s="1">
        <v>4</v>
      </c>
      <c r="H26" s="1">
        <v>576</v>
      </c>
    </row>
    <row r="27" spans="1:8" ht="15">
      <c r="A27" s="1" t="s">
        <v>77</v>
      </c>
      <c r="B27" s="1" t="s">
        <v>78</v>
      </c>
      <c r="C27" s="1" t="s">
        <v>80</v>
      </c>
      <c r="D27" s="1" t="s">
        <v>13</v>
      </c>
      <c r="E27" s="1" t="s">
        <v>81</v>
      </c>
      <c r="F27" s="1" t="s">
        <v>82</v>
      </c>
      <c r="G27" s="1">
        <v>3</v>
      </c>
      <c r="H27" s="1">
        <v>159</v>
      </c>
    </row>
    <row r="28" spans="1:8" ht="15">
      <c r="A28" s="1" t="s">
        <v>83</v>
      </c>
      <c r="B28" s="1" t="s">
        <v>84</v>
      </c>
      <c r="C28" s="1" t="s">
        <v>85</v>
      </c>
      <c r="D28" s="1" t="s">
        <v>13</v>
      </c>
      <c r="E28" s="1" t="s">
        <v>86</v>
      </c>
      <c r="F28" s="1" t="s">
        <v>87</v>
      </c>
      <c r="G28" s="1">
        <v>5</v>
      </c>
      <c r="H28" s="1">
        <v>550</v>
      </c>
    </row>
    <row r="29" spans="1:8" ht="15">
      <c r="A29" s="1" t="s">
        <v>88</v>
      </c>
      <c r="B29" s="1" t="s">
        <v>89</v>
      </c>
      <c r="C29" s="1" t="s">
        <v>89</v>
      </c>
      <c r="D29" s="1" t="s">
        <v>13</v>
      </c>
      <c r="E29" s="1" t="s">
        <v>90</v>
      </c>
      <c r="F29" s="1" t="s">
        <v>91</v>
      </c>
      <c r="G29" s="1">
        <v>2</v>
      </c>
      <c r="H29" s="1">
        <v>153</v>
      </c>
    </row>
    <row r="30" spans="1:8" ht="15">
      <c r="A30" s="1" t="s">
        <v>92</v>
      </c>
      <c r="B30" s="1" t="s">
        <v>93</v>
      </c>
      <c r="C30" s="1" t="s">
        <v>94</v>
      </c>
      <c r="D30" s="1" t="s">
        <v>95</v>
      </c>
      <c r="E30" s="1" t="s">
        <v>96</v>
      </c>
      <c r="F30" s="1" t="s">
        <v>97</v>
      </c>
      <c r="G30" s="1">
        <v>2</v>
      </c>
      <c r="H30" s="1">
        <v>248</v>
      </c>
    </row>
    <row r="31" spans="1:8" ht="15">
      <c r="A31" s="1" t="s">
        <v>10</v>
      </c>
      <c r="B31" s="1" t="s">
        <v>11</v>
      </c>
      <c r="C31" s="1" t="s">
        <v>98</v>
      </c>
      <c r="D31" s="1" t="s">
        <v>95</v>
      </c>
      <c r="E31" s="1" t="s">
        <v>99</v>
      </c>
      <c r="F31" s="1" t="s">
        <v>100</v>
      </c>
      <c r="G31" s="1">
        <v>6</v>
      </c>
      <c r="H31" s="1">
        <v>1173</v>
      </c>
    </row>
    <row r="32" spans="1:8" ht="15">
      <c r="A32" s="1" t="s">
        <v>101</v>
      </c>
      <c r="B32" s="1" t="s">
        <v>102</v>
      </c>
      <c r="C32" s="1" t="s">
        <v>102</v>
      </c>
      <c r="D32" s="1" t="s">
        <v>95</v>
      </c>
      <c r="E32" s="1" t="s">
        <v>103</v>
      </c>
      <c r="F32" s="1" t="s">
        <v>104</v>
      </c>
      <c r="G32" s="1">
        <v>4</v>
      </c>
      <c r="H32" s="1">
        <v>475</v>
      </c>
    </row>
    <row r="33" spans="1:8" ht="15">
      <c r="A33" s="1" t="s">
        <v>31</v>
      </c>
      <c r="B33" s="1" t="s">
        <v>32</v>
      </c>
      <c r="C33" s="1" t="s">
        <v>105</v>
      </c>
      <c r="D33" s="1" t="s">
        <v>95</v>
      </c>
      <c r="E33" s="1" t="s">
        <v>99</v>
      </c>
      <c r="F33" s="1" t="s">
        <v>106</v>
      </c>
      <c r="G33" s="1">
        <v>6</v>
      </c>
      <c r="H33" s="1">
        <v>867</v>
      </c>
    </row>
    <row r="34" spans="1:8" ht="15">
      <c r="A34" s="1" t="s">
        <v>56</v>
      </c>
      <c r="B34" s="1" t="s">
        <v>57</v>
      </c>
      <c r="C34" s="1" t="s">
        <v>107</v>
      </c>
      <c r="D34" s="1" t="s">
        <v>95</v>
      </c>
      <c r="E34" s="1" t="s">
        <v>99</v>
      </c>
      <c r="F34" s="1" t="s">
        <v>108</v>
      </c>
      <c r="G34" s="1">
        <v>4</v>
      </c>
      <c r="H34" s="1">
        <v>1060</v>
      </c>
    </row>
    <row r="35" spans="1:8" ht="15">
      <c r="A35" s="1" t="s">
        <v>74</v>
      </c>
      <c r="B35" s="1" t="s">
        <v>32</v>
      </c>
      <c r="C35" s="1" t="s">
        <v>109</v>
      </c>
      <c r="D35" s="1" t="s">
        <v>95</v>
      </c>
      <c r="E35" s="1" t="s">
        <v>99</v>
      </c>
      <c r="F35" s="1" t="s">
        <v>110</v>
      </c>
      <c r="G35" s="1">
        <v>1</v>
      </c>
      <c r="H35" s="1">
        <v>448</v>
      </c>
    </row>
    <row r="36" spans="1:8" ht="15">
      <c r="A36" s="1" t="s">
        <v>111</v>
      </c>
      <c r="B36" s="1" t="s">
        <v>112</v>
      </c>
      <c r="C36" s="1" t="s">
        <v>113</v>
      </c>
      <c r="D36" s="1" t="s">
        <v>95</v>
      </c>
      <c r="E36" s="1" t="s">
        <v>114</v>
      </c>
      <c r="F36" s="1" t="s">
        <v>115</v>
      </c>
      <c r="G36" s="1">
        <v>1</v>
      </c>
      <c r="H36" s="1">
        <v>81</v>
      </c>
    </row>
    <row r="37" spans="1:8" ht="15">
      <c r="A37" s="1" t="s">
        <v>111</v>
      </c>
      <c r="B37" s="1" t="s">
        <v>116</v>
      </c>
      <c r="C37" s="1" t="s">
        <v>117</v>
      </c>
      <c r="D37" s="1" t="s">
        <v>95</v>
      </c>
      <c r="E37" s="1" t="s">
        <v>118</v>
      </c>
      <c r="F37" s="1" t="s">
        <v>119</v>
      </c>
      <c r="G37" s="1">
        <v>1</v>
      </c>
      <c r="H37" s="1">
        <v>99</v>
      </c>
    </row>
    <row r="38" spans="1:8" ht="15">
      <c r="A38" s="1" t="s">
        <v>111</v>
      </c>
      <c r="B38" s="1" t="s">
        <v>120</v>
      </c>
      <c r="C38" s="1" t="s">
        <v>121</v>
      </c>
      <c r="D38" s="1" t="s">
        <v>95</v>
      </c>
      <c r="E38" s="1" t="s">
        <v>122</v>
      </c>
      <c r="F38" s="1" t="s">
        <v>123</v>
      </c>
      <c r="G38" s="1">
        <v>2</v>
      </c>
      <c r="H38" s="1">
        <v>136</v>
      </c>
    </row>
    <row r="39" spans="1:8" ht="15">
      <c r="A39" s="1" t="s">
        <v>111</v>
      </c>
      <c r="B39" s="1" t="s">
        <v>120</v>
      </c>
      <c r="C39" s="1" t="s">
        <v>124</v>
      </c>
      <c r="D39" s="1" t="s">
        <v>95</v>
      </c>
      <c r="E39" s="1" t="s">
        <v>122</v>
      </c>
      <c r="F39" s="1" t="s">
        <v>125</v>
      </c>
      <c r="G39" s="1">
        <v>1</v>
      </c>
      <c r="H39" s="1">
        <v>98</v>
      </c>
    </row>
    <row r="40" spans="1:8" ht="15">
      <c r="A40" s="1" t="s">
        <v>31</v>
      </c>
      <c r="B40" s="1" t="s">
        <v>32</v>
      </c>
      <c r="C40" s="1" t="s">
        <v>126</v>
      </c>
      <c r="D40" s="1" t="s">
        <v>127</v>
      </c>
      <c r="E40" s="1" t="s">
        <v>128</v>
      </c>
      <c r="F40" s="1" t="s">
        <v>129</v>
      </c>
      <c r="G40" s="1">
        <v>4</v>
      </c>
      <c r="H40" s="1">
        <v>450</v>
      </c>
    </row>
    <row r="41" spans="1:8" ht="15">
      <c r="A41" s="1" t="s">
        <v>130</v>
      </c>
      <c r="B41" s="1" t="s">
        <v>131</v>
      </c>
      <c r="C41" s="1" t="s">
        <v>132</v>
      </c>
      <c r="D41" s="1" t="s">
        <v>127</v>
      </c>
      <c r="E41" s="1" t="s">
        <v>128</v>
      </c>
      <c r="F41" s="1" t="s">
        <v>133</v>
      </c>
      <c r="G41" s="1">
        <v>6</v>
      </c>
      <c r="H41" s="1">
        <v>813</v>
      </c>
    </row>
    <row r="42" spans="1:8" ht="15">
      <c r="A42" s="1" t="s">
        <v>10</v>
      </c>
      <c r="B42" s="1" t="s">
        <v>11</v>
      </c>
      <c r="C42" s="1" t="s">
        <v>134</v>
      </c>
      <c r="D42" s="1" t="s">
        <v>135</v>
      </c>
      <c r="E42" s="1" t="s">
        <v>136</v>
      </c>
      <c r="F42" s="1" t="s">
        <v>137</v>
      </c>
      <c r="G42" s="1">
        <v>3</v>
      </c>
      <c r="H42" s="1">
        <v>353</v>
      </c>
    </row>
    <row r="43" spans="1:8" ht="15">
      <c r="A43" s="1" t="s">
        <v>10</v>
      </c>
      <c r="B43" s="1" t="s">
        <v>11</v>
      </c>
      <c r="C43" s="1" t="s">
        <v>138</v>
      </c>
      <c r="D43" s="1" t="s">
        <v>135</v>
      </c>
      <c r="E43" s="1" t="s">
        <v>139</v>
      </c>
      <c r="F43" s="1" t="s">
        <v>140</v>
      </c>
      <c r="G43" s="1">
        <v>4</v>
      </c>
      <c r="H43" s="1">
        <v>479</v>
      </c>
    </row>
    <row r="44" spans="1:8" ht="15">
      <c r="A44" s="1" t="s">
        <v>10</v>
      </c>
      <c r="B44" s="1" t="s">
        <v>11</v>
      </c>
      <c r="C44" s="1" t="s">
        <v>141</v>
      </c>
      <c r="D44" s="1" t="s">
        <v>135</v>
      </c>
      <c r="E44" s="1" t="s">
        <v>139</v>
      </c>
      <c r="F44" s="1" t="s">
        <v>142</v>
      </c>
      <c r="G44" s="1">
        <v>12</v>
      </c>
      <c r="H44" s="1">
        <v>2176</v>
      </c>
    </row>
    <row r="45" spans="1:8" ht="15">
      <c r="A45" s="1" t="s">
        <v>10</v>
      </c>
      <c r="B45" s="1" t="s">
        <v>11</v>
      </c>
      <c r="C45" s="1" t="s">
        <v>143</v>
      </c>
      <c r="D45" s="1" t="s">
        <v>135</v>
      </c>
      <c r="E45" s="1" t="s">
        <v>144</v>
      </c>
      <c r="F45" s="1" t="s">
        <v>145</v>
      </c>
      <c r="G45" s="1">
        <v>6</v>
      </c>
      <c r="H45" s="1">
        <v>1163</v>
      </c>
    </row>
    <row r="46" spans="1:8" ht="15">
      <c r="A46" s="1" t="s">
        <v>31</v>
      </c>
      <c r="B46" s="1" t="s">
        <v>32</v>
      </c>
      <c r="C46" s="1" t="s">
        <v>146</v>
      </c>
      <c r="D46" s="1" t="s">
        <v>135</v>
      </c>
      <c r="E46" s="1" t="s">
        <v>139</v>
      </c>
      <c r="F46" s="1" t="s">
        <v>147</v>
      </c>
      <c r="G46" s="1">
        <v>3</v>
      </c>
      <c r="H46" s="1">
        <v>680</v>
      </c>
    </row>
    <row r="47" spans="1:8" ht="15">
      <c r="A47" s="1" t="s">
        <v>148</v>
      </c>
      <c r="B47" s="1" t="s">
        <v>149</v>
      </c>
      <c r="C47" s="1" t="s">
        <v>150</v>
      </c>
      <c r="D47" s="1" t="s">
        <v>135</v>
      </c>
      <c r="E47" s="1" t="s">
        <v>151</v>
      </c>
      <c r="F47" s="1" t="s">
        <v>152</v>
      </c>
      <c r="G47" s="1">
        <v>4</v>
      </c>
      <c r="H47" s="1">
        <v>576</v>
      </c>
    </row>
    <row r="48" spans="1:8" ht="15">
      <c r="A48" s="1" t="s">
        <v>153</v>
      </c>
      <c r="B48" s="1" t="s">
        <v>154</v>
      </c>
      <c r="C48" s="1" t="s">
        <v>155</v>
      </c>
      <c r="D48" s="1" t="s">
        <v>135</v>
      </c>
      <c r="E48" s="1" t="s">
        <v>156</v>
      </c>
      <c r="F48" s="1" t="s">
        <v>157</v>
      </c>
      <c r="G48" s="1">
        <v>4</v>
      </c>
      <c r="H48" s="1">
        <v>710</v>
      </c>
    </row>
    <row r="49" spans="1:8" ht="15">
      <c r="A49" s="1" t="s">
        <v>56</v>
      </c>
      <c r="B49" s="1" t="s">
        <v>57</v>
      </c>
      <c r="C49" s="1" t="s">
        <v>158</v>
      </c>
      <c r="D49" s="1" t="s">
        <v>135</v>
      </c>
      <c r="E49" s="1" t="s">
        <v>139</v>
      </c>
      <c r="F49" s="1" t="s">
        <v>159</v>
      </c>
      <c r="G49" s="1">
        <v>4</v>
      </c>
      <c r="H49" s="1">
        <v>783</v>
      </c>
    </row>
    <row r="50" spans="1:8" ht="15">
      <c r="A50" s="1" t="s">
        <v>56</v>
      </c>
      <c r="B50" s="1" t="s">
        <v>57</v>
      </c>
      <c r="C50" s="1" t="s">
        <v>160</v>
      </c>
      <c r="D50" s="1" t="s">
        <v>135</v>
      </c>
      <c r="E50" s="1" t="s">
        <v>136</v>
      </c>
      <c r="F50" s="1" t="s">
        <v>161</v>
      </c>
      <c r="G50" s="1">
        <v>6</v>
      </c>
      <c r="H50" s="1">
        <v>996</v>
      </c>
    </row>
    <row r="51" spans="1:8" ht="15">
      <c r="A51" s="1" t="s">
        <v>162</v>
      </c>
      <c r="B51" s="1" t="s">
        <v>163</v>
      </c>
      <c r="C51" s="1" t="s">
        <v>163</v>
      </c>
      <c r="D51" s="1" t="s">
        <v>135</v>
      </c>
      <c r="E51" s="1" t="s">
        <v>156</v>
      </c>
      <c r="F51" s="1" t="s">
        <v>164</v>
      </c>
      <c r="G51" s="1">
        <v>2</v>
      </c>
      <c r="H51" s="1">
        <v>303</v>
      </c>
    </row>
    <row r="52" spans="1:8" ht="15">
      <c r="A52" s="1" t="s">
        <v>70</v>
      </c>
      <c r="B52" s="1" t="s">
        <v>71</v>
      </c>
      <c r="C52" s="1" t="s">
        <v>165</v>
      </c>
      <c r="D52" s="1" t="s">
        <v>135</v>
      </c>
      <c r="E52" s="1" t="s">
        <v>151</v>
      </c>
      <c r="F52" s="1" t="s">
        <v>166</v>
      </c>
      <c r="G52" s="1">
        <v>6</v>
      </c>
      <c r="H52" s="1">
        <v>712</v>
      </c>
    </row>
    <row r="53" spans="1:8" ht="15">
      <c r="A53" s="1" t="s">
        <v>167</v>
      </c>
      <c r="B53" s="1" t="s">
        <v>168</v>
      </c>
      <c r="C53" s="1" t="s">
        <v>169</v>
      </c>
      <c r="D53" s="1" t="s">
        <v>170</v>
      </c>
      <c r="E53" s="1" t="s">
        <v>170</v>
      </c>
      <c r="F53" s="1" t="s">
        <v>171</v>
      </c>
      <c r="G53" s="1">
        <v>1</v>
      </c>
      <c r="H53" s="1">
        <v>120</v>
      </c>
    </row>
    <row r="54" spans="1:8" ht="15">
      <c r="A54" s="1" t="s">
        <v>172</v>
      </c>
      <c r="B54" s="1" t="s">
        <v>173</v>
      </c>
      <c r="C54" s="1" t="s">
        <v>173</v>
      </c>
      <c r="D54" s="1" t="s">
        <v>170</v>
      </c>
      <c r="E54" s="1" t="s">
        <v>170</v>
      </c>
      <c r="F54" s="1" t="s">
        <v>174</v>
      </c>
      <c r="G54" s="1">
        <v>2</v>
      </c>
      <c r="H54" s="1">
        <v>374</v>
      </c>
    </row>
    <row r="55" spans="1:8" ht="15">
      <c r="A55" s="1" t="s">
        <v>175</v>
      </c>
      <c r="B55" s="1" t="s">
        <v>176</v>
      </c>
      <c r="C55" s="1" t="s">
        <v>176</v>
      </c>
      <c r="D55" s="1" t="s">
        <v>177</v>
      </c>
      <c r="E55" s="1" t="s">
        <v>178</v>
      </c>
      <c r="F55" s="1" t="s">
        <v>179</v>
      </c>
      <c r="G55" s="1">
        <v>1</v>
      </c>
      <c r="H55" s="1">
        <v>250</v>
      </c>
    </row>
    <row r="56" spans="1:8" ht="15">
      <c r="A56" s="1" t="s">
        <v>10</v>
      </c>
      <c r="B56" s="1" t="s">
        <v>11</v>
      </c>
      <c r="C56" s="1" t="s">
        <v>180</v>
      </c>
      <c r="D56" s="1" t="s">
        <v>177</v>
      </c>
      <c r="E56" s="1" t="s">
        <v>178</v>
      </c>
      <c r="F56" s="1" t="s">
        <v>181</v>
      </c>
      <c r="G56" s="1">
        <v>5</v>
      </c>
      <c r="H56" s="1">
        <v>990</v>
      </c>
    </row>
    <row r="57" spans="1:8" ht="15">
      <c r="A57" s="1" t="s">
        <v>31</v>
      </c>
      <c r="B57" s="1" t="s">
        <v>32</v>
      </c>
      <c r="C57" s="1" t="s">
        <v>182</v>
      </c>
      <c r="D57" s="1" t="s">
        <v>177</v>
      </c>
      <c r="E57" s="1" t="s">
        <v>183</v>
      </c>
      <c r="F57" s="1" t="s">
        <v>184</v>
      </c>
      <c r="G57" s="1">
        <v>5</v>
      </c>
      <c r="H57" s="1">
        <v>827</v>
      </c>
    </row>
    <row r="58" spans="1:8" ht="15">
      <c r="A58" s="1" t="s">
        <v>31</v>
      </c>
      <c r="B58" s="1" t="s">
        <v>32</v>
      </c>
      <c r="C58" s="1" t="s">
        <v>185</v>
      </c>
      <c r="D58" s="1" t="s">
        <v>177</v>
      </c>
      <c r="E58" s="1" t="s">
        <v>178</v>
      </c>
      <c r="F58" s="1" t="s">
        <v>186</v>
      </c>
      <c r="G58" s="1">
        <v>4</v>
      </c>
      <c r="H58" s="1">
        <v>570</v>
      </c>
    </row>
    <row r="59" spans="1:8" ht="15">
      <c r="A59" s="1" t="s">
        <v>56</v>
      </c>
      <c r="B59" s="1" t="s">
        <v>57</v>
      </c>
      <c r="C59" s="1" t="s">
        <v>187</v>
      </c>
      <c r="D59" s="1" t="s">
        <v>177</v>
      </c>
      <c r="E59" s="1" t="s">
        <v>178</v>
      </c>
      <c r="F59" s="1" t="s">
        <v>188</v>
      </c>
      <c r="G59" s="1">
        <v>7</v>
      </c>
      <c r="H59" s="1">
        <v>1656</v>
      </c>
    </row>
    <row r="60" spans="1:8" ht="15">
      <c r="A60" s="1" t="s">
        <v>56</v>
      </c>
      <c r="B60" s="1" t="s">
        <v>57</v>
      </c>
      <c r="C60" s="1" t="s">
        <v>189</v>
      </c>
      <c r="D60" s="1" t="s">
        <v>177</v>
      </c>
      <c r="E60" s="1" t="s">
        <v>178</v>
      </c>
      <c r="F60" s="1" t="s">
        <v>190</v>
      </c>
      <c r="G60" s="1">
        <v>4</v>
      </c>
      <c r="H60" s="1">
        <v>886</v>
      </c>
    </row>
    <row r="61" spans="1:8" ht="15">
      <c r="A61" s="1" t="s">
        <v>10</v>
      </c>
      <c r="B61" s="1" t="s">
        <v>11</v>
      </c>
      <c r="C61" s="1" t="s">
        <v>191</v>
      </c>
      <c r="D61" s="1" t="s">
        <v>192</v>
      </c>
      <c r="E61" s="1" t="s">
        <v>193</v>
      </c>
      <c r="F61" s="1" t="s">
        <v>194</v>
      </c>
      <c r="G61" s="1">
        <v>4</v>
      </c>
      <c r="H61" s="1">
        <v>848</v>
      </c>
    </row>
    <row r="62" spans="1:8" ht="15">
      <c r="A62" s="1" t="s">
        <v>195</v>
      </c>
      <c r="B62" s="1" t="s">
        <v>196</v>
      </c>
      <c r="C62" s="1" t="s">
        <v>197</v>
      </c>
      <c r="D62" s="1" t="s">
        <v>192</v>
      </c>
      <c r="E62" s="1" t="s">
        <v>198</v>
      </c>
      <c r="F62" s="1" t="s">
        <v>199</v>
      </c>
      <c r="G62" s="1">
        <v>1</v>
      </c>
      <c r="H62" s="1">
        <v>50</v>
      </c>
    </row>
    <row r="63" spans="1:8" ht="15">
      <c r="A63" s="1" t="s">
        <v>31</v>
      </c>
      <c r="B63" s="1" t="s">
        <v>32</v>
      </c>
      <c r="C63" s="1" t="s">
        <v>200</v>
      </c>
      <c r="D63" s="1" t="s">
        <v>192</v>
      </c>
      <c r="E63" s="1" t="s">
        <v>193</v>
      </c>
      <c r="F63" s="1" t="s">
        <v>201</v>
      </c>
      <c r="G63" s="1">
        <v>4</v>
      </c>
      <c r="H63" s="1">
        <v>584</v>
      </c>
    </row>
    <row r="64" spans="1:8" ht="15">
      <c r="A64" s="1" t="s">
        <v>31</v>
      </c>
      <c r="B64" s="1" t="s">
        <v>32</v>
      </c>
      <c r="C64" s="1" t="s">
        <v>202</v>
      </c>
      <c r="D64" s="1" t="s">
        <v>192</v>
      </c>
      <c r="E64" s="1" t="s">
        <v>193</v>
      </c>
      <c r="F64" s="1" t="s">
        <v>203</v>
      </c>
      <c r="G64" s="1">
        <v>6</v>
      </c>
      <c r="H64" s="1">
        <v>899</v>
      </c>
    </row>
    <row r="65" spans="1:8" ht="15">
      <c r="A65" s="1" t="s">
        <v>56</v>
      </c>
      <c r="B65" s="1" t="s">
        <v>57</v>
      </c>
      <c r="C65" s="1" t="s">
        <v>204</v>
      </c>
      <c r="D65" s="1" t="s">
        <v>192</v>
      </c>
      <c r="E65" s="1" t="s">
        <v>193</v>
      </c>
      <c r="F65" s="1" t="s">
        <v>205</v>
      </c>
      <c r="G65" s="1">
        <v>6</v>
      </c>
      <c r="H65" s="1">
        <v>1230</v>
      </c>
    </row>
    <row r="66" spans="1:8" ht="15">
      <c r="A66" s="1" t="s">
        <v>111</v>
      </c>
      <c r="B66" s="1" t="s">
        <v>206</v>
      </c>
      <c r="C66" s="1" t="s">
        <v>207</v>
      </c>
      <c r="D66" s="1" t="s">
        <v>208</v>
      </c>
      <c r="E66" s="1" t="s">
        <v>209</v>
      </c>
      <c r="F66" s="1" t="s">
        <v>210</v>
      </c>
      <c r="G66" s="1">
        <v>2</v>
      </c>
      <c r="H66" s="1">
        <v>264</v>
      </c>
    </row>
    <row r="67" spans="1:8" ht="15">
      <c r="A67" s="1" t="s">
        <v>111</v>
      </c>
      <c r="B67" s="1" t="s">
        <v>206</v>
      </c>
      <c r="C67" s="1" t="s">
        <v>211</v>
      </c>
      <c r="D67" s="1" t="s">
        <v>208</v>
      </c>
      <c r="E67" s="1" t="s">
        <v>212</v>
      </c>
      <c r="F67" s="1" t="s">
        <v>213</v>
      </c>
      <c r="G67" s="1">
        <v>2</v>
      </c>
      <c r="H67" s="1">
        <v>277</v>
      </c>
    </row>
    <row r="68" spans="1:8" ht="15">
      <c r="A68" s="1" t="s">
        <v>214</v>
      </c>
      <c r="B68" s="1" t="s">
        <v>215</v>
      </c>
      <c r="C68" s="1" t="s">
        <v>215</v>
      </c>
      <c r="D68" s="1" t="s">
        <v>216</v>
      </c>
      <c r="E68" s="1" t="s">
        <v>217</v>
      </c>
      <c r="F68" s="1" t="s">
        <v>218</v>
      </c>
      <c r="G68" s="1">
        <v>1</v>
      </c>
      <c r="H68" s="1">
        <v>224</v>
      </c>
    </row>
    <row r="69" spans="1:8" ht="15">
      <c r="A69" s="1" t="s">
        <v>219</v>
      </c>
      <c r="B69" s="1" t="s">
        <v>220</v>
      </c>
      <c r="C69" s="1" t="s">
        <v>221</v>
      </c>
      <c r="D69" s="1" t="s">
        <v>216</v>
      </c>
      <c r="E69" s="1" t="s">
        <v>222</v>
      </c>
      <c r="F69" s="1" t="s">
        <v>223</v>
      </c>
      <c r="G69" s="1">
        <v>4</v>
      </c>
      <c r="H69" s="1">
        <v>580</v>
      </c>
    </row>
    <row r="70" spans="1:8" ht="15">
      <c r="A70" s="1" t="s">
        <v>31</v>
      </c>
      <c r="B70" s="1" t="s">
        <v>32</v>
      </c>
      <c r="C70" s="1" t="s">
        <v>224</v>
      </c>
      <c r="D70" s="1" t="s">
        <v>216</v>
      </c>
      <c r="E70" s="1" t="s">
        <v>225</v>
      </c>
      <c r="F70" s="1" t="s">
        <v>226</v>
      </c>
      <c r="G70" s="1">
        <v>6</v>
      </c>
      <c r="H70" s="1">
        <v>1238</v>
      </c>
    </row>
    <row r="71" spans="1:8" ht="15">
      <c r="A71" s="1" t="s">
        <v>31</v>
      </c>
      <c r="B71" s="1" t="s">
        <v>32</v>
      </c>
      <c r="C71" s="1" t="s">
        <v>227</v>
      </c>
      <c r="D71" s="1" t="s">
        <v>216</v>
      </c>
      <c r="E71" s="1" t="s">
        <v>225</v>
      </c>
      <c r="F71" s="1" t="s">
        <v>228</v>
      </c>
      <c r="G71" s="1">
        <v>5</v>
      </c>
      <c r="H71" s="1">
        <v>631</v>
      </c>
    </row>
    <row r="72" spans="1:8" ht="15">
      <c r="A72" s="1" t="s">
        <v>56</v>
      </c>
      <c r="B72" s="1" t="s">
        <v>57</v>
      </c>
      <c r="C72" s="1" t="s">
        <v>229</v>
      </c>
      <c r="D72" s="1" t="s">
        <v>216</v>
      </c>
      <c r="E72" s="1" t="s">
        <v>225</v>
      </c>
      <c r="F72" s="1" t="s">
        <v>230</v>
      </c>
      <c r="G72" s="1">
        <v>6</v>
      </c>
      <c r="H72" s="1">
        <v>1109</v>
      </c>
    </row>
    <row r="73" spans="1:8" ht="15">
      <c r="A73" s="1" t="s">
        <v>31</v>
      </c>
      <c r="B73" s="1" t="s">
        <v>32</v>
      </c>
      <c r="C73" s="1" t="s">
        <v>231</v>
      </c>
      <c r="D73" s="1" t="s">
        <v>232</v>
      </c>
      <c r="E73" s="1" t="s">
        <v>233</v>
      </c>
      <c r="F73" s="1" t="s">
        <v>234</v>
      </c>
      <c r="G73" s="1">
        <v>4</v>
      </c>
      <c r="H73" s="1">
        <v>617</v>
      </c>
    </row>
    <row r="74" spans="1:8" ht="15">
      <c r="A74" s="1" t="s">
        <v>235</v>
      </c>
      <c r="B74" s="1" t="s">
        <v>236</v>
      </c>
      <c r="C74" s="1" t="s">
        <v>237</v>
      </c>
      <c r="D74" s="1" t="s">
        <v>232</v>
      </c>
      <c r="E74" s="1" t="s">
        <v>238</v>
      </c>
      <c r="F74" s="1" t="s">
        <v>239</v>
      </c>
      <c r="G74" s="1">
        <v>1</v>
      </c>
      <c r="H74" s="1">
        <v>35</v>
      </c>
    </row>
    <row r="75" spans="1:8" ht="15">
      <c r="A75" s="1" t="s">
        <v>56</v>
      </c>
      <c r="B75" s="1" t="s">
        <v>57</v>
      </c>
      <c r="C75" s="1" t="s">
        <v>240</v>
      </c>
      <c r="D75" s="1" t="s">
        <v>232</v>
      </c>
      <c r="E75" s="1" t="s">
        <v>241</v>
      </c>
      <c r="F75" s="1" t="s">
        <v>242</v>
      </c>
      <c r="G75" s="1">
        <v>4</v>
      </c>
      <c r="H75" s="1">
        <v>546</v>
      </c>
    </row>
    <row r="76" spans="1:8" ht="15">
      <c r="A76" s="1" t="s">
        <v>56</v>
      </c>
      <c r="B76" s="1" t="s">
        <v>57</v>
      </c>
      <c r="C76" s="1" t="s">
        <v>243</v>
      </c>
      <c r="D76" s="1" t="s">
        <v>232</v>
      </c>
      <c r="E76" s="1" t="s">
        <v>233</v>
      </c>
      <c r="F76" s="1" t="s">
        <v>244</v>
      </c>
      <c r="G76" s="1">
        <v>5</v>
      </c>
      <c r="H76" s="1">
        <v>883</v>
      </c>
    </row>
    <row r="77" spans="1:8" ht="15">
      <c r="A77" s="1" t="s">
        <v>245</v>
      </c>
      <c r="B77" s="1" t="s">
        <v>246</v>
      </c>
      <c r="C77" s="1" t="s">
        <v>247</v>
      </c>
      <c r="D77" s="1" t="s">
        <v>232</v>
      </c>
      <c r="E77" s="1" t="s">
        <v>233</v>
      </c>
      <c r="F77" s="1" t="s">
        <v>248</v>
      </c>
      <c r="G77" s="1">
        <v>4</v>
      </c>
      <c r="H77" s="1">
        <v>1063</v>
      </c>
    </row>
    <row r="78" spans="1:8" ht="15">
      <c r="A78" s="1" t="s">
        <v>10</v>
      </c>
      <c r="B78" s="1" t="s">
        <v>11</v>
      </c>
      <c r="C78" s="1" t="s">
        <v>249</v>
      </c>
      <c r="D78" s="1" t="s">
        <v>250</v>
      </c>
      <c r="E78" s="1" t="s">
        <v>251</v>
      </c>
      <c r="F78" s="1" t="s">
        <v>252</v>
      </c>
      <c r="G78" s="1">
        <v>8</v>
      </c>
      <c r="H78" s="1">
        <v>1665</v>
      </c>
    </row>
    <row r="79" spans="1:8" ht="15">
      <c r="A79" s="1" t="s">
        <v>31</v>
      </c>
      <c r="B79" s="1" t="s">
        <v>32</v>
      </c>
      <c r="C79" s="1" t="s">
        <v>253</v>
      </c>
      <c r="D79" s="1" t="s">
        <v>250</v>
      </c>
      <c r="E79" s="1" t="s">
        <v>251</v>
      </c>
      <c r="F79" s="1" t="s">
        <v>254</v>
      </c>
      <c r="G79" s="1">
        <v>6</v>
      </c>
      <c r="H79" s="1">
        <v>1082</v>
      </c>
    </row>
    <row r="80" spans="1:8" ht="15">
      <c r="A80" s="1" t="s">
        <v>148</v>
      </c>
      <c r="B80" s="1" t="s">
        <v>149</v>
      </c>
      <c r="C80" s="1" t="s">
        <v>255</v>
      </c>
      <c r="D80" s="1" t="s">
        <v>250</v>
      </c>
      <c r="E80" s="1" t="s">
        <v>251</v>
      </c>
      <c r="F80" s="1" t="s">
        <v>256</v>
      </c>
      <c r="G80" s="1">
        <v>5</v>
      </c>
      <c r="H80" s="1">
        <v>810</v>
      </c>
    </row>
    <row r="81" spans="1:8" ht="15">
      <c r="A81" s="1" t="s">
        <v>153</v>
      </c>
      <c r="B81" s="1" t="s">
        <v>154</v>
      </c>
      <c r="C81" s="1" t="s">
        <v>257</v>
      </c>
      <c r="D81" s="1" t="s">
        <v>250</v>
      </c>
      <c r="E81" s="1" t="s">
        <v>258</v>
      </c>
      <c r="F81" s="1" t="s">
        <v>259</v>
      </c>
      <c r="G81" s="1">
        <v>3</v>
      </c>
      <c r="H81" s="1">
        <v>370</v>
      </c>
    </row>
    <row r="82" spans="1:8" ht="15">
      <c r="A82" s="1" t="s">
        <v>56</v>
      </c>
      <c r="B82" s="1" t="s">
        <v>57</v>
      </c>
      <c r="C82" s="1" t="s">
        <v>260</v>
      </c>
      <c r="D82" s="1" t="s">
        <v>250</v>
      </c>
      <c r="E82" s="1" t="s">
        <v>251</v>
      </c>
      <c r="F82" s="1" t="s">
        <v>261</v>
      </c>
      <c r="G82" s="1">
        <v>6</v>
      </c>
      <c r="H82" s="1">
        <v>772</v>
      </c>
    </row>
    <row r="83" spans="1:8" ht="15">
      <c r="A83" s="1" t="s">
        <v>262</v>
      </c>
      <c r="B83" s="1" t="s">
        <v>263</v>
      </c>
      <c r="C83" s="1" t="s">
        <v>264</v>
      </c>
      <c r="D83" s="1" t="s">
        <v>250</v>
      </c>
      <c r="E83" s="1" t="s">
        <v>251</v>
      </c>
      <c r="F83" s="1" t="s">
        <v>265</v>
      </c>
      <c r="G83" s="1">
        <v>3</v>
      </c>
      <c r="H83" s="1">
        <v>513</v>
      </c>
    </row>
    <row r="84" spans="1:8" ht="15">
      <c r="A84" s="1" t="s">
        <v>266</v>
      </c>
      <c r="B84" s="1" t="s">
        <v>267</v>
      </c>
      <c r="C84" s="1" t="s">
        <v>268</v>
      </c>
      <c r="D84" s="1" t="s">
        <v>250</v>
      </c>
      <c r="E84" s="1" t="s">
        <v>269</v>
      </c>
      <c r="F84" s="1" t="s">
        <v>270</v>
      </c>
      <c r="G84" s="1">
        <v>2</v>
      </c>
      <c r="H84" s="1">
        <v>160</v>
      </c>
    </row>
    <row r="85" spans="1:8" ht="15">
      <c r="A85" s="1" t="s">
        <v>111</v>
      </c>
      <c r="B85" s="1" t="s">
        <v>271</v>
      </c>
      <c r="C85" s="1" t="s">
        <v>272</v>
      </c>
      <c r="D85" s="1" t="s">
        <v>250</v>
      </c>
      <c r="E85" s="1" t="s">
        <v>273</v>
      </c>
      <c r="F85" s="1" t="s">
        <v>274</v>
      </c>
      <c r="G85" s="1">
        <v>2</v>
      </c>
      <c r="H85" s="1">
        <v>246</v>
      </c>
    </row>
    <row r="86" spans="1:8" ht="15">
      <c r="A86" s="1" t="s">
        <v>111</v>
      </c>
      <c r="B86" s="1" t="s">
        <v>271</v>
      </c>
      <c r="C86" s="1" t="s">
        <v>275</v>
      </c>
      <c r="D86" s="1" t="s">
        <v>250</v>
      </c>
      <c r="E86" s="1" t="s">
        <v>276</v>
      </c>
      <c r="F86" s="1" t="s">
        <v>277</v>
      </c>
      <c r="G86" s="1">
        <v>2</v>
      </c>
      <c r="H86" s="1">
        <v>169</v>
      </c>
    </row>
    <row r="87" spans="1:8" ht="15">
      <c r="A87" s="1" t="s">
        <v>278</v>
      </c>
      <c r="B87" s="1" t="s">
        <v>279</v>
      </c>
      <c r="C87" s="1" t="s">
        <v>280</v>
      </c>
      <c r="D87" s="1" t="s">
        <v>281</v>
      </c>
      <c r="E87" s="1" t="s">
        <v>282</v>
      </c>
      <c r="F87" s="1" t="s">
        <v>283</v>
      </c>
      <c r="G87" s="1">
        <v>2</v>
      </c>
      <c r="H87" s="1">
        <v>240</v>
      </c>
    </row>
    <row r="88" spans="1:8" ht="15">
      <c r="A88" s="1" t="s">
        <v>56</v>
      </c>
      <c r="B88" s="1" t="s">
        <v>57</v>
      </c>
      <c r="C88" s="1" t="s">
        <v>284</v>
      </c>
      <c r="D88" s="1" t="s">
        <v>281</v>
      </c>
      <c r="E88" s="1" t="s">
        <v>285</v>
      </c>
      <c r="F88" s="1" t="s">
        <v>286</v>
      </c>
      <c r="G88" s="1">
        <v>6</v>
      </c>
      <c r="H88" s="1">
        <v>1549</v>
      </c>
    </row>
    <row r="89" spans="1:8" ht="15">
      <c r="A89" s="1" t="s">
        <v>287</v>
      </c>
      <c r="B89" s="1" t="s">
        <v>288</v>
      </c>
      <c r="C89" s="1" t="s">
        <v>289</v>
      </c>
      <c r="D89" s="1" t="s">
        <v>281</v>
      </c>
      <c r="E89" s="1" t="s">
        <v>290</v>
      </c>
      <c r="F89" s="1" t="s">
        <v>291</v>
      </c>
      <c r="G89" s="1">
        <v>2</v>
      </c>
      <c r="H89" s="1">
        <v>227</v>
      </c>
    </row>
    <row r="90" spans="1:8" ht="15">
      <c r="A90" s="1" t="s">
        <v>292</v>
      </c>
      <c r="B90" s="1" t="s">
        <v>293</v>
      </c>
      <c r="C90" s="1" t="s">
        <v>294</v>
      </c>
      <c r="D90" s="1" t="s">
        <v>281</v>
      </c>
      <c r="E90" s="1" t="s">
        <v>285</v>
      </c>
      <c r="F90" s="1" t="s">
        <v>295</v>
      </c>
      <c r="G90" s="1">
        <v>4</v>
      </c>
      <c r="H90" s="1">
        <v>608</v>
      </c>
    </row>
    <row r="91" spans="1:8" ht="15">
      <c r="A91" s="1" t="s">
        <v>111</v>
      </c>
      <c r="B91" s="1" t="s">
        <v>296</v>
      </c>
      <c r="C91" s="1" t="s">
        <v>297</v>
      </c>
      <c r="D91" s="1" t="s">
        <v>281</v>
      </c>
      <c r="E91" s="1" t="s">
        <v>285</v>
      </c>
      <c r="F91" s="1" t="s">
        <v>298</v>
      </c>
      <c r="G91" s="1">
        <v>4</v>
      </c>
      <c r="H91" s="1">
        <v>424</v>
      </c>
    </row>
    <row r="92" spans="1:8" ht="15">
      <c r="A92" s="1" t="s">
        <v>74</v>
      </c>
      <c r="B92" s="1" t="s">
        <v>32</v>
      </c>
      <c r="C92" s="1" t="s">
        <v>299</v>
      </c>
      <c r="D92" s="1" t="s">
        <v>300</v>
      </c>
      <c r="E92" s="1" t="s">
        <v>301</v>
      </c>
      <c r="F92" s="1" t="s">
        <v>302</v>
      </c>
      <c r="G92" s="1">
        <v>6</v>
      </c>
      <c r="H92" s="1">
        <v>1192</v>
      </c>
    </row>
    <row r="93" spans="1:8" ht="15">
      <c r="A93" s="1" t="s">
        <v>303</v>
      </c>
      <c r="B93" s="1" t="s">
        <v>304</v>
      </c>
      <c r="C93" s="1" t="s">
        <v>305</v>
      </c>
      <c r="D93" s="1" t="s">
        <v>306</v>
      </c>
      <c r="E93" s="1" t="s">
        <v>307</v>
      </c>
      <c r="F93" s="1" t="s">
        <v>308</v>
      </c>
      <c r="G93" s="1">
        <v>3</v>
      </c>
      <c r="H93" s="1">
        <v>345</v>
      </c>
    </row>
    <row r="94" spans="1:8" ht="15">
      <c r="A94" s="1" t="s">
        <v>219</v>
      </c>
      <c r="B94" s="1" t="s">
        <v>220</v>
      </c>
      <c r="C94" s="1" t="s">
        <v>309</v>
      </c>
      <c r="D94" s="1" t="s">
        <v>306</v>
      </c>
      <c r="E94" s="1" t="s">
        <v>307</v>
      </c>
      <c r="F94" s="1" t="s">
        <v>310</v>
      </c>
      <c r="G94" s="1">
        <v>4</v>
      </c>
      <c r="H94" s="1">
        <v>600</v>
      </c>
    </row>
    <row r="95" spans="1:8" ht="15">
      <c r="A95" s="1" t="s">
        <v>219</v>
      </c>
      <c r="B95" s="1" t="s">
        <v>220</v>
      </c>
      <c r="C95" s="1" t="s">
        <v>311</v>
      </c>
      <c r="D95" s="1" t="s">
        <v>306</v>
      </c>
      <c r="E95" s="1" t="s">
        <v>312</v>
      </c>
      <c r="F95" s="1" t="s">
        <v>313</v>
      </c>
      <c r="G95" s="1">
        <v>4</v>
      </c>
      <c r="H95" s="1">
        <v>600</v>
      </c>
    </row>
    <row r="96" spans="1:8" ht="15">
      <c r="A96" s="1" t="s">
        <v>314</v>
      </c>
      <c r="B96" s="1" t="s">
        <v>315</v>
      </c>
      <c r="C96" s="1" t="s">
        <v>316</v>
      </c>
      <c r="D96" s="1" t="s">
        <v>306</v>
      </c>
      <c r="E96" s="1" t="s">
        <v>317</v>
      </c>
      <c r="F96" s="1" t="s">
        <v>318</v>
      </c>
      <c r="G96" s="1">
        <v>1</v>
      </c>
      <c r="H96" s="1">
        <v>178</v>
      </c>
    </row>
    <row r="97" spans="1:8" ht="15">
      <c r="A97" s="1" t="s">
        <v>56</v>
      </c>
      <c r="B97" s="1" t="s">
        <v>57</v>
      </c>
      <c r="C97" s="1" t="s">
        <v>319</v>
      </c>
      <c r="D97" s="1" t="s">
        <v>306</v>
      </c>
      <c r="E97" s="1" t="s">
        <v>312</v>
      </c>
      <c r="F97" s="1" t="s">
        <v>320</v>
      </c>
      <c r="G97" s="1">
        <v>6</v>
      </c>
      <c r="H97" s="1">
        <v>1556</v>
      </c>
    </row>
    <row r="98" spans="1:8" ht="15">
      <c r="A98" s="1" t="s">
        <v>292</v>
      </c>
      <c r="B98" s="1" t="s">
        <v>293</v>
      </c>
      <c r="C98" s="1" t="s">
        <v>321</v>
      </c>
      <c r="D98" s="1" t="s">
        <v>306</v>
      </c>
      <c r="E98" s="1" t="s">
        <v>312</v>
      </c>
      <c r="F98" s="1" t="s">
        <v>322</v>
      </c>
      <c r="G98" s="1">
        <v>6</v>
      </c>
      <c r="H98" s="1">
        <v>1140</v>
      </c>
    </row>
    <row r="99" spans="1:8" ht="15">
      <c r="A99" s="1" t="s">
        <v>74</v>
      </c>
      <c r="B99" s="1" t="s">
        <v>32</v>
      </c>
      <c r="C99" s="1" t="s">
        <v>323</v>
      </c>
      <c r="D99" s="1" t="s">
        <v>306</v>
      </c>
      <c r="E99" s="1" t="s">
        <v>312</v>
      </c>
      <c r="F99" s="1" t="s">
        <v>324</v>
      </c>
      <c r="G99" s="1">
        <v>8</v>
      </c>
      <c r="H99" s="1">
        <v>1498</v>
      </c>
    </row>
    <row r="100" spans="1:8" ht="15">
      <c r="A100" s="1" t="s">
        <v>74</v>
      </c>
      <c r="B100" s="1" t="s">
        <v>32</v>
      </c>
      <c r="C100" s="1" t="s">
        <v>325</v>
      </c>
      <c r="D100" s="1" t="s">
        <v>306</v>
      </c>
      <c r="E100" s="1" t="s">
        <v>312</v>
      </c>
      <c r="F100" s="1" t="s">
        <v>326</v>
      </c>
      <c r="G100" s="1">
        <v>5</v>
      </c>
      <c r="H100" s="1">
        <v>934</v>
      </c>
    </row>
    <row r="101" spans="1:8" ht="15">
      <c r="A101" s="1" t="s">
        <v>111</v>
      </c>
      <c r="B101" s="1" t="s">
        <v>327</v>
      </c>
      <c r="C101" s="1" t="s">
        <v>328</v>
      </c>
      <c r="D101" s="1" t="s">
        <v>306</v>
      </c>
      <c r="E101" s="1" t="s">
        <v>329</v>
      </c>
      <c r="F101" s="1" t="s">
        <v>330</v>
      </c>
      <c r="G101" s="1">
        <v>2</v>
      </c>
      <c r="H101" s="1">
        <v>251</v>
      </c>
    </row>
    <row r="102" spans="1:8" ht="15">
      <c r="A102" s="1" t="s">
        <v>331</v>
      </c>
      <c r="B102" s="1" t="s">
        <v>332</v>
      </c>
      <c r="C102" s="1" t="s">
        <v>333</v>
      </c>
      <c r="D102" s="1" t="s">
        <v>334</v>
      </c>
      <c r="E102" s="1" t="s">
        <v>335</v>
      </c>
      <c r="F102" s="1" t="s">
        <v>336</v>
      </c>
      <c r="G102" s="1">
        <v>2</v>
      </c>
      <c r="H102" s="1">
        <v>259</v>
      </c>
    </row>
    <row r="103" spans="1:8" ht="15">
      <c r="A103" s="1" t="s">
        <v>10</v>
      </c>
      <c r="B103" s="1" t="s">
        <v>11</v>
      </c>
      <c r="C103" s="1" t="s">
        <v>337</v>
      </c>
      <c r="D103" s="1" t="s">
        <v>338</v>
      </c>
      <c r="E103" s="1" t="s">
        <v>339</v>
      </c>
      <c r="F103" s="1" t="s">
        <v>340</v>
      </c>
      <c r="G103" s="1">
        <v>5</v>
      </c>
      <c r="H103" s="1">
        <v>948</v>
      </c>
    </row>
    <row r="104" spans="1:8" ht="15">
      <c r="A104" s="1" t="s">
        <v>10</v>
      </c>
      <c r="B104" s="1" t="s">
        <v>11</v>
      </c>
      <c r="C104" s="1" t="s">
        <v>341</v>
      </c>
      <c r="D104" s="1" t="s">
        <v>338</v>
      </c>
      <c r="E104" s="1" t="s">
        <v>342</v>
      </c>
      <c r="F104" s="1" t="s">
        <v>343</v>
      </c>
      <c r="G104" s="1">
        <v>8</v>
      </c>
      <c r="H104" s="1">
        <v>1186</v>
      </c>
    </row>
    <row r="105" spans="1:8" ht="15">
      <c r="A105" s="1" t="s">
        <v>10</v>
      </c>
      <c r="B105" s="1" t="s">
        <v>11</v>
      </c>
      <c r="C105" s="1" t="s">
        <v>344</v>
      </c>
      <c r="D105" s="1" t="s">
        <v>338</v>
      </c>
      <c r="E105" s="1" t="s">
        <v>345</v>
      </c>
      <c r="F105" s="1" t="s">
        <v>346</v>
      </c>
      <c r="G105" s="1">
        <v>7</v>
      </c>
      <c r="H105" s="1">
        <v>1443</v>
      </c>
    </row>
    <row r="106" spans="1:8" ht="15">
      <c r="A106" s="1" t="s">
        <v>10</v>
      </c>
      <c r="B106" s="1" t="s">
        <v>11</v>
      </c>
      <c r="C106" s="1" t="s">
        <v>347</v>
      </c>
      <c r="D106" s="1" t="s">
        <v>338</v>
      </c>
      <c r="E106" s="1" t="s">
        <v>345</v>
      </c>
      <c r="F106" s="1" t="s">
        <v>348</v>
      </c>
      <c r="G106" s="1">
        <v>9</v>
      </c>
      <c r="H106" s="1">
        <v>1764</v>
      </c>
    </row>
    <row r="107" spans="1:8" ht="15">
      <c r="A107" s="1" t="s">
        <v>31</v>
      </c>
      <c r="B107" s="1" t="s">
        <v>32</v>
      </c>
      <c r="C107" s="1" t="s">
        <v>349</v>
      </c>
      <c r="D107" s="1" t="s">
        <v>338</v>
      </c>
      <c r="E107" s="1" t="s">
        <v>350</v>
      </c>
      <c r="F107" s="1" t="s">
        <v>351</v>
      </c>
      <c r="G107" s="1">
        <v>4</v>
      </c>
      <c r="H107" s="1">
        <v>769</v>
      </c>
    </row>
    <row r="108" spans="1:8" ht="15">
      <c r="A108" s="1" t="s">
        <v>31</v>
      </c>
      <c r="B108" s="1" t="s">
        <v>32</v>
      </c>
      <c r="C108" s="1" t="s">
        <v>352</v>
      </c>
      <c r="D108" s="1" t="s">
        <v>338</v>
      </c>
      <c r="E108" s="1" t="s">
        <v>353</v>
      </c>
      <c r="F108" s="1" t="s">
        <v>354</v>
      </c>
      <c r="G108" s="1">
        <v>5</v>
      </c>
      <c r="H108" s="1">
        <v>1273</v>
      </c>
    </row>
    <row r="109" spans="1:8" ht="15">
      <c r="A109" s="1" t="s">
        <v>31</v>
      </c>
      <c r="B109" s="1" t="s">
        <v>32</v>
      </c>
      <c r="C109" s="1" t="s">
        <v>355</v>
      </c>
      <c r="D109" s="1" t="s">
        <v>338</v>
      </c>
      <c r="E109" s="1" t="s">
        <v>356</v>
      </c>
      <c r="F109" s="1" t="s">
        <v>357</v>
      </c>
      <c r="G109" s="1">
        <v>4</v>
      </c>
      <c r="H109" s="1">
        <v>697</v>
      </c>
    </row>
    <row r="110" spans="1:8" ht="15">
      <c r="A110" s="1" t="s">
        <v>358</v>
      </c>
      <c r="B110" s="1" t="s">
        <v>359</v>
      </c>
      <c r="C110" s="1" t="s">
        <v>359</v>
      </c>
      <c r="D110" s="1" t="s">
        <v>338</v>
      </c>
      <c r="E110" s="1" t="s">
        <v>360</v>
      </c>
      <c r="F110" s="1" t="s">
        <v>361</v>
      </c>
      <c r="G110" s="1">
        <v>2</v>
      </c>
      <c r="H110" s="1">
        <v>212</v>
      </c>
    </row>
    <row r="111" spans="1:8" ht="15">
      <c r="A111" s="1" t="s">
        <v>148</v>
      </c>
      <c r="B111" s="1" t="s">
        <v>149</v>
      </c>
      <c r="C111" s="1" t="s">
        <v>362</v>
      </c>
      <c r="D111" s="1" t="s">
        <v>338</v>
      </c>
      <c r="E111" s="1" t="s">
        <v>345</v>
      </c>
      <c r="F111" s="1" t="s">
        <v>363</v>
      </c>
      <c r="G111" s="1">
        <v>2</v>
      </c>
      <c r="H111" s="1">
        <v>500</v>
      </c>
    </row>
    <row r="112" spans="1:8" ht="15">
      <c r="A112" s="1" t="s">
        <v>56</v>
      </c>
      <c r="B112" s="1" t="s">
        <v>57</v>
      </c>
      <c r="C112" s="1" t="s">
        <v>364</v>
      </c>
      <c r="D112" s="1" t="s">
        <v>338</v>
      </c>
      <c r="E112" s="1" t="s">
        <v>345</v>
      </c>
      <c r="F112" s="1" t="s">
        <v>365</v>
      </c>
      <c r="G112" s="1">
        <v>6</v>
      </c>
      <c r="H112" s="1">
        <v>1212</v>
      </c>
    </row>
    <row r="113" spans="1:8" ht="15">
      <c r="A113" s="1" t="s">
        <v>366</v>
      </c>
      <c r="B113" s="1" t="s">
        <v>367</v>
      </c>
      <c r="C113" s="1" t="s">
        <v>368</v>
      </c>
      <c r="D113" s="1" t="s">
        <v>338</v>
      </c>
      <c r="E113" s="1" t="s">
        <v>369</v>
      </c>
      <c r="F113" s="1" t="s">
        <v>370</v>
      </c>
      <c r="G113" s="1">
        <v>3</v>
      </c>
      <c r="H113" s="1">
        <v>433</v>
      </c>
    </row>
    <row r="114" spans="1:8" ht="15">
      <c r="A114" s="1" t="s">
        <v>70</v>
      </c>
      <c r="B114" s="1" t="s">
        <v>71</v>
      </c>
      <c r="C114" s="1" t="s">
        <v>371</v>
      </c>
      <c r="D114" s="1" t="s">
        <v>338</v>
      </c>
      <c r="E114" s="1" t="s">
        <v>342</v>
      </c>
      <c r="F114" s="1" t="s">
        <v>372</v>
      </c>
      <c r="G114" s="1">
        <v>11</v>
      </c>
      <c r="H114" s="1">
        <v>1947</v>
      </c>
    </row>
    <row r="115" spans="1:8" ht="15">
      <c r="A115" s="1" t="s">
        <v>373</v>
      </c>
      <c r="B115" s="1" t="s">
        <v>374</v>
      </c>
      <c r="C115" s="1" t="s">
        <v>375</v>
      </c>
      <c r="D115" s="1" t="s">
        <v>338</v>
      </c>
      <c r="E115" s="1" t="s">
        <v>376</v>
      </c>
      <c r="F115" s="1" t="s">
        <v>377</v>
      </c>
      <c r="G115" s="1">
        <v>4</v>
      </c>
      <c r="H115" s="1">
        <v>400</v>
      </c>
    </row>
    <row r="116" spans="1:8" ht="15">
      <c r="A116" s="1" t="s">
        <v>373</v>
      </c>
      <c r="B116" s="1" t="s">
        <v>374</v>
      </c>
      <c r="C116" s="1" t="s">
        <v>378</v>
      </c>
      <c r="D116" s="1" t="s">
        <v>338</v>
      </c>
      <c r="E116" s="1" t="s">
        <v>379</v>
      </c>
      <c r="F116" s="1" t="s">
        <v>380</v>
      </c>
      <c r="G116" s="1">
        <v>3</v>
      </c>
      <c r="H116" s="1">
        <v>286</v>
      </c>
    </row>
    <row r="117" spans="1:8" ht="15">
      <c r="A117" s="1" t="s">
        <v>373</v>
      </c>
      <c r="B117" s="1" t="s">
        <v>374</v>
      </c>
      <c r="C117" s="1" t="s">
        <v>381</v>
      </c>
      <c r="D117" s="1" t="s">
        <v>338</v>
      </c>
      <c r="E117" s="1" t="s">
        <v>382</v>
      </c>
      <c r="F117" s="1" t="s">
        <v>383</v>
      </c>
      <c r="G117" s="1">
        <v>3</v>
      </c>
      <c r="H117" s="1">
        <v>266</v>
      </c>
    </row>
    <row r="118" spans="1:8" ht="15">
      <c r="A118" s="1" t="s">
        <v>384</v>
      </c>
      <c r="B118" s="1" t="s">
        <v>385</v>
      </c>
      <c r="C118" s="1" t="s">
        <v>386</v>
      </c>
      <c r="D118" s="1" t="s">
        <v>338</v>
      </c>
      <c r="E118" s="1" t="s">
        <v>353</v>
      </c>
      <c r="F118" s="1" t="s">
        <v>387</v>
      </c>
      <c r="G118" s="1">
        <v>1</v>
      </c>
      <c r="H118" s="1">
        <v>600</v>
      </c>
    </row>
    <row r="119" spans="1:8" ht="15">
      <c r="A119" s="1" t="s">
        <v>384</v>
      </c>
      <c r="B119" s="1" t="s">
        <v>385</v>
      </c>
      <c r="C119" s="1" t="s">
        <v>388</v>
      </c>
      <c r="D119" s="1" t="s">
        <v>338</v>
      </c>
      <c r="E119" s="1" t="s">
        <v>353</v>
      </c>
      <c r="F119" s="1" t="s">
        <v>389</v>
      </c>
      <c r="G119" s="1">
        <v>1</v>
      </c>
      <c r="H119" s="1">
        <v>120</v>
      </c>
    </row>
    <row r="120" spans="1:8" ht="15">
      <c r="A120" s="1" t="s">
        <v>384</v>
      </c>
      <c r="B120" s="1" t="s">
        <v>385</v>
      </c>
      <c r="C120" s="1" t="s">
        <v>390</v>
      </c>
      <c r="D120" s="1" t="s">
        <v>338</v>
      </c>
      <c r="E120" s="1" t="s">
        <v>391</v>
      </c>
      <c r="F120" s="1" t="s">
        <v>392</v>
      </c>
      <c r="G120" s="1">
        <v>1</v>
      </c>
      <c r="H120" s="1">
        <v>120</v>
      </c>
    </row>
    <row r="121" spans="1:8" ht="15">
      <c r="A121" s="1" t="s">
        <v>111</v>
      </c>
      <c r="B121" s="1" t="s">
        <v>393</v>
      </c>
      <c r="C121" s="1" t="s">
        <v>393</v>
      </c>
      <c r="D121" s="1" t="s">
        <v>338</v>
      </c>
      <c r="E121" s="1" t="s">
        <v>394</v>
      </c>
      <c r="F121" s="1" t="s">
        <v>395</v>
      </c>
      <c r="G121" s="1">
        <v>1</v>
      </c>
      <c r="H121" s="1">
        <v>100</v>
      </c>
    </row>
    <row r="122" spans="1:8" ht="15">
      <c r="A122" s="1" t="s">
        <v>111</v>
      </c>
      <c r="B122" s="1" t="s">
        <v>396</v>
      </c>
      <c r="C122" s="1" t="s">
        <v>397</v>
      </c>
      <c r="D122" s="1" t="s">
        <v>338</v>
      </c>
      <c r="E122" s="1" t="s">
        <v>339</v>
      </c>
      <c r="F122" s="1" t="s">
        <v>398</v>
      </c>
      <c r="G122" s="1">
        <v>2</v>
      </c>
      <c r="H122" s="1">
        <v>222</v>
      </c>
    </row>
    <row r="123" spans="1:8" ht="15">
      <c r="A123" s="1" t="s">
        <v>10</v>
      </c>
      <c r="B123" s="1" t="s">
        <v>11</v>
      </c>
      <c r="C123" s="1" t="s">
        <v>399</v>
      </c>
      <c r="D123" s="1" t="s">
        <v>400</v>
      </c>
      <c r="E123" s="1" t="s">
        <v>401</v>
      </c>
      <c r="F123" s="1" t="s">
        <v>402</v>
      </c>
      <c r="G123" s="1">
        <v>5</v>
      </c>
      <c r="H123" s="1">
        <v>870</v>
      </c>
    </row>
    <row r="124" spans="1:8" ht="15">
      <c r="A124" s="1" t="s">
        <v>31</v>
      </c>
      <c r="B124" s="1" t="s">
        <v>32</v>
      </c>
      <c r="C124" s="1" t="s">
        <v>403</v>
      </c>
      <c r="D124" s="1" t="s">
        <v>400</v>
      </c>
      <c r="E124" s="1" t="s">
        <v>401</v>
      </c>
      <c r="F124" s="1" t="s">
        <v>404</v>
      </c>
      <c r="G124" s="1">
        <v>5</v>
      </c>
      <c r="H124" s="1">
        <v>1048</v>
      </c>
    </row>
    <row r="125" spans="1:8" ht="15">
      <c r="A125" s="1" t="s">
        <v>405</v>
      </c>
      <c r="B125" s="1" t="s">
        <v>406</v>
      </c>
      <c r="C125" s="1" t="s">
        <v>407</v>
      </c>
      <c r="D125" s="1" t="s">
        <v>400</v>
      </c>
      <c r="E125" s="1" t="s">
        <v>408</v>
      </c>
      <c r="F125" s="1" t="s">
        <v>409</v>
      </c>
      <c r="G125" s="1">
        <v>1</v>
      </c>
      <c r="H125" s="1">
        <v>110</v>
      </c>
    </row>
    <row r="126" spans="1:8" ht="15">
      <c r="A126" s="1" t="s">
        <v>56</v>
      </c>
      <c r="B126" s="1" t="s">
        <v>57</v>
      </c>
      <c r="C126" s="1" t="s">
        <v>410</v>
      </c>
      <c r="D126" s="1" t="s">
        <v>400</v>
      </c>
      <c r="E126" s="1" t="s">
        <v>401</v>
      </c>
      <c r="F126" s="1" t="s">
        <v>411</v>
      </c>
      <c r="G126" s="1">
        <v>5</v>
      </c>
      <c r="H126" s="1">
        <v>1257</v>
      </c>
    </row>
    <row r="127" spans="1:8" ht="15">
      <c r="A127" s="1" t="s">
        <v>111</v>
      </c>
      <c r="B127" s="1" t="s">
        <v>412</v>
      </c>
      <c r="C127" s="1" t="s">
        <v>413</v>
      </c>
      <c r="D127" s="1" t="s">
        <v>400</v>
      </c>
      <c r="E127" s="1" t="s">
        <v>414</v>
      </c>
      <c r="F127" s="1" t="s">
        <v>415</v>
      </c>
      <c r="G127" s="1">
        <v>1</v>
      </c>
      <c r="H127" s="1">
        <v>210</v>
      </c>
    </row>
    <row r="128" spans="1:8" ht="15">
      <c r="A128" s="1" t="s">
        <v>111</v>
      </c>
      <c r="B128" s="1" t="s">
        <v>416</v>
      </c>
      <c r="C128" s="1" t="s">
        <v>416</v>
      </c>
      <c r="D128" s="1" t="s">
        <v>400</v>
      </c>
      <c r="E128" s="1" t="s">
        <v>417</v>
      </c>
      <c r="F128" s="1" t="s">
        <v>418</v>
      </c>
      <c r="G128" s="1">
        <v>1</v>
      </c>
      <c r="H128" s="1">
        <v>86</v>
      </c>
    </row>
    <row r="129" spans="1:8" ht="15">
      <c r="A129" s="1" t="s">
        <v>292</v>
      </c>
      <c r="B129" s="1" t="s">
        <v>293</v>
      </c>
      <c r="C129" s="1" t="s">
        <v>419</v>
      </c>
      <c r="D129" s="1" t="s">
        <v>420</v>
      </c>
      <c r="E129" s="1" t="s">
        <v>421</v>
      </c>
      <c r="F129" s="1" t="s">
        <v>422</v>
      </c>
      <c r="G129" s="1">
        <v>4</v>
      </c>
      <c r="H129" s="1">
        <v>600</v>
      </c>
    </row>
    <row r="130" spans="1:8" ht="15">
      <c r="A130" s="1" t="s">
        <v>423</v>
      </c>
      <c r="B130" s="1" t="s">
        <v>332</v>
      </c>
      <c r="C130" s="1" t="s">
        <v>424</v>
      </c>
      <c r="D130" s="1" t="s">
        <v>425</v>
      </c>
      <c r="E130" s="1" t="s">
        <v>426</v>
      </c>
      <c r="F130" s="1" t="s">
        <v>427</v>
      </c>
      <c r="G130" s="1">
        <v>4</v>
      </c>
      <c r="H130" s="1">
        <v>815</v>
      </c>
    </row>
    <row r="131" spans="1:8" ht="15">
      <c r="A131" s="1" t="s">
        <v>292</v>
      </c>
      <c r="B131" s="1" t="s">
        <v>293</v>
      </c>
      <c r="C131" s="1" t="s">
        <v>428</v>
      </c>
      <c r="D131" s="1" t="s">
        <v>425</v>
      </c>
      <c r="E131" s="1" t="s">
        <v>426</v>
      </c>
      <c r="F131" s="1" t="s">
        <v>429</v>
      </c>
      <c r="G131" s="1">
        <v>6</v>
      </c>
      <c r="H131" s="1">
        <v>1253</v>
      </c>
    </row>
    <row r="132" spans="1:8" ht="15">
      <c r="A132" s="1" t="s">
        <v>430</v>
      </c>
      <c r="B132" s="1" t="s">
        <v>431</v>
      </c>
      <c r="C132" s="1" t="s">
        <v>431</v>
      </c>
      <c r="D132" s="1" t="s">
        <v>425</v>
      </c>
      <c r="E132" s="1" t="s">
        <v>426</v>
      </c>
      <c r="F132" s="1" t="s">
        <v>432</v>
      </c>
      <c r="G132" s="1">
        <v>1</v>
      </c>
      <c r="H132" s="1">
        <v>60</v>
      </c>
    </row>
    <row r="133" spans="1:8" ht="15">
      <c r="A133" s="1" t="s">
        <v>70</v>
      </c>
      <c r="B133" s="1" t="s">
        <v>71</v>
      </c>
      <c r="C133" s="1" t="s">
        <v>433</v>
      </c>
      <c r="D133" s="1" t="s">
        <v>425</v>
      </c>
      <c r="E133" s="1" t="s">
        <v>426</v>
      </c>
      <c r="F133" s="1" t="s">
        <v>434</v>
      </c>
      <c r="G133" s="1">
        <v>5</v>
      </c>
      <c r="H133" s="1">
        <v>945</v>
      </c>
    </row>
    <row r="134" spans="1:8" ht="15">
      <c r="A134" s="1" t="s">
        <v>74</v>
      </c>
      <c r="B134" s="1" t="s">
        <v>32</v>
      </c>
      <c r="C134" s="1" t="s">
        <v>435</v>
      </c>
      <c r="D134" s="1" t="s">
        <v>425</v>
      </c>
      <c r="E134" s="1" t="s">
        <v>426</v>
      </c>
      <c r="F134" s="1" t="s">
        <v>436</v>
      </c>
      <c r="G134" s="1">
        <v>5</v>
      </c>
      <c r="H134" s="1">
        <v>541</v>
      </c>
    </row>
    <row r="135" spans="1:8" ht="15">
      <c r="A135" s="1" t="s">
        <v>437</v>
      </c>
      <c r="B135" s="1" t="s">
        <v>438</v>
      </c>
      <c r="C135" s="1" t="s">
        <v>438</v>
      </c>
      <c r="D135" s="1" t="s">
        <v>425</v>
      </c>
      <c r="E135" s="1" t="s">
        <v>439</v>
      </c>
      <c r="F135" s="1" t="s">
        <v>440</v>
      </c>
      <c r="G135" s="1">
        <v>2</v>
      </c>
      <c r="H135" s="1">
        <v>222</v>
      </c>
    </row>
    <row r="136" spans="1:8" ht="15">
      <c r="A136" s="1" t="s">
        <v>10</v>
      </c>
      <c r="B136" s="1" t="s">
        <v>11</v>
      </c>
      <c r="C136" s="1" t="s">
        <v>441</v>
      </c>
      <c r="D136" s="1" t="s">
        <v>442</v>
      </c>
      <c r="E136" s="1" t="s">
        <v>443</v>
      </c>
      <c r="F136" s="1" t="s">
        <v>444</v>
      </c>
      <c r="G136" s="1">
        <v>6</v>
      </c>
      <c r="H136" s="1">
        <v>1248</v>
      </c>
    </row>
    <row r="137" spans="1:8" ht="15">
      <c r="A137" s="1" t="s">
        <v>31</v>
      </c>
      <c r="B137" s="1" t="s">
        <v>32</v>
      </c>
      <c r="C137" s="1" t="s">
        <v>445</v>
      </c>
      <c r="D137" s="1" t="s">
        <v>442</v>
      </c>
      <c r="E137" s="1" t="s">
        <v>443</v>
      </c>
      <c r="F137" s="1" t="s">
        <v>446</v>
      </c>
      <c r="G137" s="1">
        <v>4</v>
      </c>
      <c r="H137" s="1">
        <v>529</v>
      </c>
    </row>
    <row r="138" spans="1:8" ht="15">
      <c r="A138" s="1" t="s">
        <v>153</v>
      </c>
      <c r="B138" s="1" t="s">
        <v>154</v>
      </c>
      <c r="C138" s="1" t="s">
        <v>447</v>
      </c>
      <c r="D138" s="1" t="s">
        <v>448</v>
      </c>
      <c r="E138" s="1" t="s">
        <v>449</v>
      </c>
      <c r="F138" s="1" t="s">
        <v>450</v>
      </c>
      <c r="G138" s="1">
        <v>3</v>
      </c>
      <c r="H138" s="1">
        <v>580</v>
      </c>
    </row>
    <row r="139" spans="1:8" ht="15">
      <c r="A139" s="1" t="s">
        <v>56</v>
      </c>
      <c r="B139" s="1" t="s">
        <v>57</v>
      </c>
      <c r="C139" s="1" t="s">
        <v>451</v>
      </c>
      <c r="D139" s="1" t="s">
        <v>448</v>
      </c>
      <c r="E139" s="1" t="s">
        <v>449</v>
      </c>
      <c r="F139" s="1" t="s">
        <v>452</v>
      </c>
      <c r="G139" s="1">
        <v>4</v>
      </c>
      <c r="H139" s="1">
        <v>767</v>
      </c>
    </row>
    <row r="140" spans="1:8" ht="15">
      <c r="A140" s="1" t="s">
        <v>453</v>
      </c>
      <c r="B140" s="1" t="s">
        <v>454</v>
      </c>
      <c r="C140" s="1" t="s">
        <v>455</v>
      </c>
      <c r="D140" s="1" t="s">
        <v>448</v>
      </c>
      <c r="E140" s="1" t="s">
        <v>456</v>
      </c>
      <c r="F140" s="1" t="s">
        <v>457</v>
      </c>
      <c r="G140" s="1">
        <v>1</v>
      </c>
      <c r="H140" s="1">
        <v>94</v>
      </c>
    </row>
    <row r="141" spans="1:8" ht="15">
      <c r="A141" s="1" t="s">
        <v>458</v>
      </c>
      <c r="B141" s="1" t="s">
        <v>459</v>
      </c>
      <c r="C141" s="1" t="s">
        <v>459</v>
      </c>
      <c r="D141" s="1" t="s">
        <v>448</v>
      </c>
      <c r="E141" s="1" t="s">
        <v>460</v>
      </c>
      <c r="F141" s="1" t="s">
        <v>461</v>
      </c>
      <c r="G141" s="1">
        <v>1</v>
      </c>
      <c r="H141" s="1">
        <v>94</v>
      </c>
    </row>
    <row r="142" spans="1:8" ht="15">
      <c r="A142" s="1" t="s">
        <v>56</v>
      </c>
      <c r="B142" s="1" t="s">
        <v>57</v>
      </c>
      <c r="C142" s="1" t="s">
        <v>462</v>
      </c>
      <c r="D142" s="1" t="s">
        <v>463</v>
      </c>
      <c r="E142" s="1" t="s">
        <v>464</v>
      </c>
      <c r="F142" s="1" t="s">
        <v>465</v>
      </c>
      <c r="G142" s="1">
        <v>5</v>
      </c>
      <c r="H142" s="1">
        <v>953</v>
      </c>
    </row>
    <row r="143" spans="1:8" ht="15">
      <c r="A143" s="1" t="s">
        <v>92</v>
      </c>
      <c r="B143" s="1" t="s">
        <v>93</v>
      </c>
      <c r="C143" s="1" t="s">
        <v>466</v>
      </c>
      <c r="D143" s="1" t="s">
        <v>467</v>
      </c>
      <c r="E143" s="1" t="s">
        <v>468</v>
      </c>
      <c r="F143" s="1" t="s">
        <v>469</v>
      </c>
      <c r="G143" s="1">
        <v>4</v>
      </c>
      <c r="H143" s="1">
        <v>960</v>
      </c>
    </row>
    <row r="144" spans="1:8" ht="15">
      <c r="A144" s="1" t="s">
        <v>470</v>
      </c>
      <c r="B144" s="1" t="s">
        <v>471</v>
      </c>
      <c r="C144" s="1" t="s">
        <v>472</v>
      </c>
      <c r="D144" s="1" t="s">
        <v>467</v>
      </c>
      <c r="E144" s="1" t="s">
        <v>468</v>
      </c>
      <c r="F144" s="1" t="s">
        <v>473</v>
      </c>
      <c r="G144" s="1">
        <v>1</v>
      </c>
      <c r="H144" s="1">
        <v>235</v>
      </c>
    </row>
    <row r="145" spans="1:8" ht="15">
      <c r="A145" s="1" t="s">
        <v>10</v>
      </c>
      <c r="B145" s="1" t="s">
        <v>11</v>
      </c>
      <c r="C145" s="1" t="s">
        <v>474</v>
      </c>
      <c r="D145" s="1" t="s">
        <v>467</v>
      </c>
      <c r="E145" s="1" t="s">
        <v>468</v>
      </c>
      <c r="F145" s="1" t="s">
        <v>475</v>
      </c>
      <c r="G145" s="1">
        <v>6</v>
      </c>
      <c r="H145" s="1">
        <v>1077</v>
      </c>
    </row>
    <row r="146" spans="1:8" ht="15">
      <c r="A146" s="1" t="s">
        <v>476</v>
      </c>
      <c r="B146" s="1" t="s">
        <v>477</v>
      </c>
      <c r="C146" s="1" t="s">
        <v>478</v>
      </c>
      <c r="D146" s="1" t="s">
        <v>467</v>
      </c>
      <c r="E146" s="1" t="s">
        <v>468</v>
      </c>
      <c r="F146" s="1" t="s">
        <v>479</v>
      </c>
      <c r="G146" s="1">
        <v>2</v>
      </c>
      <c r="H146" s="1">
        <v>1351</v>
      </c>
    </row>
    <row r="147" spans="1:8" ht="15">
      <c r="A147" s="1" t="s">
        <v>476</v>
      </c>
      <c r="B147" s="1" t="s">
        <v>477</v>
      </c>
      <c r="C147" s="1" t="s">
        <v>480</v>
      </c>
      <c r="D147" s="1" t="s">
        <v>467</v>
      </c>
      <c r="E147" s="1" t="s">
        <v>468</v>
      </c>
      <c r="F147" s="1" t="s">
        <v>481</v>
      </c>
      <c r="G147" s="1">
        <v>1</v>
      </c>
      <c r="H147" s="1">
        <v>40</v>
      </c>
    </row>
    <row r="148" spans="1:8" ht="15">
      <c r="A148" s="1" t="s">
        <v>70</v>
      </c>
      <c r="B148" s="1" t="s">
        <v>71</v>
      </c>
      <c r="C148" s="1" t="s">
        <v>482</v>
      </c>
      <c r="D148" s="1" t="s">
        <v>467</v>
      </c>
      <c r="E148" s="1" t="s">
        <v>468</v>
      </c>
      <c r="F148" s="1" t="s">
        <v>483</v>
      </c>
      <c r="G148" s="1">
        <v>8</v>
      </c>
      <c r="H148" s="1">
        <v>1803</v>
      </c>
    </row>
    <row r="149" spans="1:8" ht="15">
      <c r="A149" s="1" t="s">
        <v>484</v>
      </c>
      <c r="B149" s="1" t="s">
        <v>485</v>
      </c>
      <c r="C149" s="1" t="s">
        <v>485</v>
      </c>
      <c r="D149" s="1" t="s">
        <v>467</v>
      </c>
      <c r="E149" s="1" t="s">
        <v>486</v>
      </c>
      <c r="F149" s="1" t="s">
        <v>487</v>
      </c>
      <c r="G149" s="1">
        <v>1</v>
      </c>
      <c r="H149" s="1">
        <v>126</v>
      </c>
    </row>
    <row r="150" spans="1:8" ht="15">
      <c r="A150" s="1" t="s">
        <v>111</v>
      </c>
      <c r="B150" s="1" t="s">
        <v>296</v>
      </c>
      <c r="C150" s="1" t="s">
        <v>488</v>
      </c>
      <c r="D150" s="1" t="s">
        <v>467</v>
      </c>
      <c r="E150" s="1" t="s">
        <v>489</v>
      </c>
      <c r="F150" s="1" t="s">
        <v>490</v>
      </c>
      <c r="G150" s="1">
        <v>1</v>
      </c>
      <c r="H150" s="1">
        <v>100</v>
      </c>
    </row>
    <row r="151" spans="1:8" ht="15">
      <c r="A151" s="1" t="s">
        <v>111</v>
      </c>
      <c r="B151" s="1" t="s">
        <v>296</v>
      </c>
      <c r="C151" s="1" t="s">
        <v>491</v>
      </c>
      <c r="D151" s="1" t="s">
        <v>467</v>
      </c>
      <c r="E151" s="1" t="s">
        <v>489</v>
      </c>
      <c r="F151" s="1" t="s">
        <v>492</v>
      </c>
      <c r="G151" s="1">
        <v>1</v>
      </c>
      <c r="H151" s="1">
        <v>120</v>
      </c>
    </row>
    <row r="152" spans="1:8" ht="15">
      <c r="A152" s="1" t="s">
        <v>493</v>
      </c>
      <c r="B152" s="1" t="s">
        <v>494</v>
      </c>
      <c r="C152" s="1" t="s">
        <v>494</v>
      </c>
      <c r="D152" s="1" t="s">
        <v>495</v>
      </c>
      <c r="E152" s="1" t="s">
        <v>496</v>
      </c>
      <c r="F152" s="1" t="s">
        <v>497</v>
      </c>
      <c r="G152" s="1">
        <v>1</v>
      </c>
      <c r="H152" s="1">
        <v>138</v>
      </c>
    </row>
    <row r="153" spans="1:8" ht="15">
      <c r="A153" s="1" t="s">
        <v>31</v>
      </c>
      <c r="B153" s="1" t="s">
        <v>32</v>
      </c>
      <c r="C153" s="1" t="s">
        <v>498</v>
      </c>
      <c r="D153" s="1" t="s">
        <v>495</v>
      </c>
      <c r="E153" s="1" t="s">
        <v>499</v>
      </c>
      <c r="F153" s="1" t="s">
        <v>500</v>
      </c>
      <c r="G153" s="1">
        <v>6</v>
      </c>
      <c r="H153" s="1">
        <v>1148</v>
      </c>
    </row>
    <row r="154" spans="1:8" ht="15">
      <c r="A154" s="1" t="s">
        <v>501</v>
      </c>
      <c r="B154" s="1" t="s">
        <v>332</v>
      </c>
      <c r="C154" s="1" t="s">
        <v>502</v>
      </c>
      <c r="D154" s="1" t="s">
        <v>495</v>
      </c>
      <c r="E154" s="1" t="s">
        <v>499</v>
      </c>
      <c r="F154" s="1" t="s">
        <v>503</v>
      </c>
      <c r="G154" s="1">
        <v>4</v>
      </c>
      <c r="H154" s="1">
        <v>608</v>
      </c>
    </row>
    <row r="155" spans="1:8" ht="15">
      <c r="A155" s="1" t="s">
        <v>153</v>
      </c>
      <c r="B155" s="1" t="s">
        <v>154</v>
      </c>
      <c r="C155" s="1" t="s">
        <v>504</v>
      </c>
      <c r="D155" s="1" t="s">
        <v>495</v>
      </c>
      <c r="E155" s="1" t="s">
        <v>505</v>
      </c>
      <c r="F155" s="1" t="s">
        <v>506</v>
      </c>
      <c r="G155" s="1">
        <v>3</v>
      </c>
      <c r="H155" s="1">
        <v>396</v>
      </c>
    </row>
    <row r="156" spans="1:8" ht="15">
      <c r="A156" s="1" t="s">
        <v>373</v>
      </c>
      <c r="B156" s="1" t="s">
        <v>374</v>
      </c>
      <c r="C156" s="1" t="s">
        <v>507</v>
      </c>
      <c r="D156" s="1" t="s">
        <v>495</v>
      </c>
      <c r="E156" s="1" t="s">
        <v>508</v>
      </c>
      <c r="F156" s="1" t="s">
        <v>509</v>
      </c>
      <c r="G156" s="1">
        <v>2</v>
      </c>
      <c r="H156" s="1">
        <v>222</v>
      </c>
    </row>
    <row r="157" spans="1:8" ht="15">
      <c r="A157" s="1" t="s">
        <v>373</v>
      </c>
      <c r="B157" s="1" t="s">
        <v>374</v>
      </c>
      <c r="C157" s="1" t="s">
        <v>510</v>
      </c>
      <c r="D157" s="1" t="s">
        <v>495</v>
      </c>
      <c r="E157" s="1" t="s">
        <v>508</v>
      </c>
      <c r="F157" s="1" t="s">
        <v>511</v>
      </c>
      <c r="G157" s="1">
        <v>3</v>
      </c>
      <c r="H157" s="1">
        <v>351</v>
      </c>
    </row>
    <row r="158" spans="1:8" ht="15">
      <c r="A158" s="1" t="s">
        <v>512</v>
      </c>
      <c r="B158" s="1" t="s">
        <v>513</v>
      </c>
      <c r="C158" s="1" t="s">
        <v>513</v>
      </c>
      <c r="D158" s="1" t="s">
        <v>495</v>
      </c>
      <c r="E158" s="1" t="s">
        <v>499</v>
      </c>
      <c r="F158" s="1" t="s">
        <v>514</v>
      </c>
      <c r="G158" s="1">
        <v>1</v>
      </c>
      <c r="H158" s="1">
        <v>50</v>
      </c>
    </row>
    <row r="159" spans="1:8" ht="15">
      <c r="A159" s="1" t="s">
        <v>111</v>
      </c>
      <c r="B159" s="1" t="s">
        <v>515</v>
      </c>
      <c r="C159" s="1" t="s">
        <v>516</v>
      </c>
      <c r="D159" s="1" t="s">
        <v>495</v>
      </c>
      <c r="E159" s="1" t="s">
        <v>517</v>
      </c>
      <c r="F159" s="1" t="s">
        <v>518</v>
      </c>
      <c r="G159" s="1">
        <v>2</v>
      </c>
      <c r="H159" s="1">
        <v>180</v>
      </c>
    </row>
    <row r="160" spans="1:8" ht="15">
      <c r="A160" s="1" t="s">
        <v>111</v>
      </c>
      <c r="B160" s="1" t="s">
        <v>519</v>
      </c>
      <c r="C160" s="1" t="s">
        <v>520</v>
      </c>
      <c r="D160" s="1" t="s">
        <v>495</v>
      </c>
      <c r="E160" s="1" t="s">
        <v>521</v>
      </c>
      <c r="F160" s="1" t="s">
        <v>522</v>
      </c>
      <c r="G160" s="1">
        <v>1</v>
      </c>
      <c r="H160" s="1">
        <v>62</v>
      </c>
    </row>
    <row r="161" spans="1:8" ht="15">
      <c r="A161" s="1" t="s">
        <v>10</v>
      </c>
      <c r="B161" s="1" t="s">
        <v>11</v>
      </c>
      <c r="C161" s="1" t="s">
        <v>523</v>
      </c>
      <c r="D161" s="1" t="s">
        <v>524</v>
      </c>
      <c r="E161" s="1" t="s">
        <v>525</v>
      </c>
      <c r="F161" s="1" t="s">
        <v>526</v>
      </c>
      <c r="G161" s="1">
        <v>6</v>
      </c>
      <c r="H161" s="1">
        <v>882</v>
      </c>
    </row>
    <row r="162" spans="1:8" ht="15">
      <c r="A162" s="1" t="s">
        <v>10</v>
      </c>
      <c r="B162" s="1" t="s">
        <v>11</v>
      </c>
      <c r="C162" s="1" t="s">
        <v>527</v>
      </c>
      <c r="D162" s="1" t="s">
        <v>524</v>
      </c>
      <c r="E162" s="1" t="s">
        <v>525</v>
      </c>
      <c r="F162" s="1" t="s">
        <v>528</v>
      </c>
      <c r="G162" s="1">
        <v>4</v>
      </c>
      <c r="H162" s="1">
        <v>909</v>
      </c>
    </row>
    <row r="163" spans="1:8" ht="15">
      <c r="A163" s="1" t="s">
        <v>10</v>
      </c>
      <c r="B163" s="1" t="s">
        <v>11</v>
      </c>
      <c r="C163" s="1" t="s">
        <v>529</v>
      </c>
      <c r="D163" s="1" t="s">
        <v>524</v>
      </c>
      <c r="E163" s="1" t="s">
        <v>525</v>
      </c>
      <c r="F163" s="1" t="s">
        <v>530</v>
      </c>
      <c r="G163" s="1">
        <v>5</v>
      </c>
      <c r="H163" s="1">
        <v>658</v>
      </c>
    </row>
    <row r="164" spans="1:8" ht="15">
      <c r="A164" s="1" t="s">
        <v>31</v>
      </c>
      <c r="B164" s="1" t="s">
        <v>32</v>
      </c>
      <c r="C164" s="1" t="s">
        <v>531</v>
      </c>
      <c r="D164" s="1" t="s">
        <v>524</v>
      </c>
      <c r="E164" s="1" t="s">
        <v>525</v>
      </c>
      <c r="F164" s="1" t="s">
        <v>532</v>
      </c>
      <c r="G164" s="1">
        <v>5</v>
      </c>
      <c r="H164" s="1">
        <v>688</v>
      </c>
    </row>
    <row r="165" spans="1:8" ht="15">
      <c r="A165" s="1" t="s">
        <v>148</v>
      </c>
      <c r="B165" s="1" t="s">
        <v>149</v>
      </c>
      <c r="C165" s="1" t="s">
        <v>533</v>
      </c>
      <c r="D165" s="1" t="s">
        <v>524</v>
      </c>
      <c r="E165" s="1" t="s">
        <v>525</v>
      </c>
      <c r="F165" s="1" t="s">
        <v>534</v>
      </c>
      <c r="G165" s="1">
        <v>6</v>
      </c>
      <c r="H165" s="1">
        <v>808</v>
      </c>
    </row>
    <row r="166" spans="1:8" ht="15">
      <c r="A166" s="1" t="s">
        <v>292</v>
      </c>
      <c r="B166" s="1" t="s">
        <v>293</v>
      </c>
      <c r="C166" s="1" t="s">
        <v>535</v>
      </c>
      <c r="D166" s="1" t="s">
        <v>524</v>
      </c>
      <c r="E166" s="1" t="s">
        <v>536</v>
      </c>
      <c r="F166" s="1" t="s">
        <v>537</v>
      </c>
      <c r="G166" s="1">
        <v>6</v>
      </c>
      <c r="H166" s="1">
        <v>1284</v>
      </c>
    </row>
    <row r="167" spans="1:8" ht="15">
      <c r="A167" s="1" t="s">
        <v>111</v>
      </c>
      <c r="B167" s="1" t="s">
        <v>538</v>
      </c>
      <c r="C167" s="1" t="s">
        <v>539</v>
      </c>
      <c r="D167" s="1" t="s">
        <v>524</v>
      </c>
      <c r="E167" s="1" t="s">
        <v>540</v>
      </c>
      <c r="F167" s="1" t="s">
        <v>541</v>
      </c>
      <c r="G167" s="1">
        <v>2</v>
      </c>
      <c r="H167" s="1">
        <v>260</v>
      </c>
    </row>
    <row r="168" spans="1:8" ht="15">
      <c r="A168" s="1" t="s">
        <v>542</v>
      </c>
      <c r="B168" s="1" t="s">
        <v>543</v>
      </c>
      <c r="C168" s="1" t="s">
        <v>543</v>
      </c>
      <c r="D168" s="1" t="s">
        <v>544</v>
      </c>
      <c r="E168" s="1" t="s">
        <v>544</v>
      </c>
      <c r="F168" s="1" t="s">
        <v>545</v>
      </c>
      <c r="G168" s="1">
        <v>2</v>
      </c>
      <c r="H168" s="1">
        <v>110</v>
      </c>
    </row>
    <row r="169" spans="1:8" ht="15">
      <c r="A169" s="1" t="s">
        <v>10</v>
      </c>
      <c r="B169" s="1" t="s">
        <v>11</v>
      </c>
      <c r="C169" s="1" t="s">
        <v>546</v>
      </c>
      <c r="D169" s="1" t="s">
        <v>544</v>
      </c>
      <c r="E169" s="1" t="s">
        <v>544</v>
      </c>
      <c r="F169" s="1" t="s">
        <v>547</v>
      </c>
      <c r="G169" s="1">
        <v>6</v>
      </c>
      <c r="H169" s="1">
        <v>862</v>
      </c>
    </row>
    <row r="170" spans="1:8" ht="15">
      <c r="A170" s="1" t="s">
        <v>10</v>
      </c>
      <c r="B170" s="1" t="s">
        <v>11</v>
      </c>
      <c r="C170" s="1" t="s">
        <v>548</v>
      </c>
      <c r="D170" s="1" t="s">
        <v>544</v>
      </c>
      <c r="E170" s="1" t="s">
        <v>544</v>
      </c>
      <c r="F170" s="1" t="s">
        <v>549</v>
      </c>
      <c r="G170" s="1">
        <v>4</v>
      </c>
      <c r="H170" s="1">
        <v>503</v>
      </c>
    </row>
    <row r="171" spans="1:8" ht="15">
      <c r="A171" s="1" t="s">
        <v>10</v>
      </c>
      <c r="B171" s="1" t="s">
        <v>11</v>
      </c>
      <c r="C171" s="1" t="s">
        <v>550</v>
      </c>
      <c r="D171" s="1" t="s">
        <v>544</v>
      </c>
      <c r="E171" s="1" t="s">
        <v>544</v>
      </c>
      <c r="F171" s="1" t="s">
        <v>551</v>
      </c>
      <c r="G171" s="1">
        <v>4</v>
      </c>
      <c r="H171" s="1">
        <v>678</v>
      </c>
    </row>
    <row r="172" spans="1:8" ht="15">
      <c r="A172" s="1" t="s">
        <v>10</v>
      </c>
      <c r="B172" s="1" t="s">
        <v>11</v>
      </c>
      <c r="C172" s="1" t="s">
        <v>552</v>
      </c>
      <c r="D172" s="1" t="s">
        <v>544</v>
      </c>
      <c r="E172" s="1" t="s">
        <v>544</v>
      </c>
      <c r="F172" s="1" t="s">
        <v>553</v>
      </c>
      <c r="G172" s="1">
        <v>12</v>
      </c>
      <c r="H172" s="1">
        <v>3450</v>
      </c>
    </row>
    <row r="173" spans="1:8" ht="15">
      <c r="A173" s="1" t="s">
        <v>10</v>
      </c>
      <c r="B173" s="1" t="s">
        <v>11</v>
      </c>
      <c r="C173" s="1" t="s">
        <v>554</v>
      </c>
      <c r="D173" s="1" t="s">
        <v>544</v>
      </c>
      <c r="E173" s="1" t="s">
        <v>544</v>
      </c>
      <c r="F173" s="1" t="s">
        <v>555</v>
      </c>
      <c r="G173" s="1">
        <v>8</v>
      </c>
      <c r="H173" s="1">
        <v>1516</v>
      </c>
    </row>
    <row r="174" spans="1:8" ht="15">
      <c r="A174" s="1" t="s">
        <v>10</v>
      </c>
      <c r="B174" s="1" t="s">
        <v>11</v>
      </c>
      <c r="C174" s="1" t="s">
        <v>556</v>
      </c>
      <c r="D174" s="1" t="s">
        <v>544</v>
      </c>
      <c r="E174" s="1" t="s">
        <v>544</v>
      </c>
      <c r="F174" s="1" t="s">
        <v>557</v>
      </c>
      <c r="G174" s="1">
        <v>12</v>
      </c>
      <c r="H174" s="1">
        <v>2842</v>
      </c>
    </row>
    <row r="175" spans="1:8" ht="15">
      <c r="A175" s="1" t="s">
        <v>10</v>
      </c>
      <c r="B175" s="1" t="s">
        <v>11</v>
      </c>
      <c r="C175" s="1" t="s">
        <v>558</v>
      </c>
      <c r="D175" s="1" t="s">
        <v>544</v>
      </c>
      <c r="E175" s="1" t="s">
        <v>544</v>
      </c>
      <c r="F175" s="1" t="s">
        <v>559</v>
      </c>
      <c r="G175" s="1">
        <v>14</v>
      </c>
      <c r="H175" s="1">
        <v>2774</v>
      </c>
    </row>
    <row r="176" spans="1:8" ht="15">
      <c r="A176" s="1" t="s">
        <v>10</v>
      </c>
      <c r="B176" s="1" t="s">
        <v>11</v>
      </c>
      <c r="C176" s="1" t="s">
        <v>560</v>
      </c>
      <c r="D176" s="1" t="s">
        <v>544</v>
      </c>
      <c r="E176" s="1" t="s">
        <v>544</v>
      </c>
      <c r="F176" s="1" t="s">
        <v>561</v>
      </c>
      <c r="G176" s="1">
        <v>9</v>
      </c>
      <c r="H176" s="1">
        <v>1730</v>
      </c>
    </row>
    <row r="177" spans="1:8" ht="15">
      <c r="A177" s="1" t="s">
        <v>10</v>
      </c>
      <c r="B177" s="1" t="s">
        <v>11</v>
      </c>
      <c r="C177" s="1" t="s">
        <v>562</v>
      </c>
      <c r="D177" s="1" t="s">
        <v>544</v>
      </c>
      <c r="E177" s="1" t="s">
        <v>544</v>
      </c>
      <c r="F177" s="1" t="s">
        <v>563</v>
      </c>
      <c r="G177" s="1">
        <v>10</v>
      </c>
      <c r="H177" s="1">
        <v>1868</v>
      </c>
    </row>
    <row r="178" spans="1:8" ht="15">
      <c r="A178" s="1" t="s">
        <v>10</v>
      </c>
      <c r="B178" s="1" t="s">
        <v>11</v>
      </c>
      <c r="C178" s="1" t="s">
        <v>564</v>
      </c>
      <c r="D178" s="1" t="s">
        <v>544</v>
      </c>
      <c r="E178" s="1" t="s">
        <v>544</v>
      </c>
      <c r="F178" s="1" t="s">
        <v>565</v>
      </c>
      <c r="G178" s="1">
        <v>8</v>
      </c>
      <c r="H178" s="1">
        <v>1682</v>
      </c>
    </row>
    <row r="179" spans="1:8" ht="15">
      <c r="A179" s="1" t="s">
        <v>10</v>
      </c>
      <c r="B179" s="1" t="s">
        <v>11</v>
      </c>
      <c r="C179" s="1" t="s">
        <v>566</v>
      </c>
      <c r="D179" s="1" t="s">
        <v>544</v>
      </c>
      <c r="E179" s="1" t="s">
        <v>544</v>
      </c>
      <c r="F179" s="1" t="s">
        <v>567</v>
      </c>
      <c r="G179" s="1">
        <v>7</v>
      </c>
      <c r="H179" s="1">
        <v>1541</v>
      </c>
    </row>
    <row r="180" spans="1:8" ht="15">
      <c r="A180" s="1" t="s">
        <v>10</v>
      </c>
      <c r="B180" s="1" t="s">
        <v>11</v>
      </c>
      <c r="C180" s="1" t="s">
        <v>568</v>
      </c>
      <c r="D180" s="1" t="s">
        <v>544</v>
      </c>
      <c r="E180" s="1" t="s">
        <v>544</v>
      </c>
      <c r="F180" s="1" t="s">
        <v>569</v>
      </c>
      <c r="G180" s="1">
        <v>6</v>
      </c>
      <c r="H180" s="1">
        <v>1244</v>
      </c>
    </row>
    <row r="181" spans="1:8" ht="15">
      <c r="A181" s="1" t="s">
        <v>10</v>
      </c>
      <c r="B181" s="1" t="s">
        <v>11</v>
      </c>
      <c r="C181" s="1" t="s">
        <v>570</v>
      </c>
      <c r="D181" s="1" t="s">
        <v>544</v>
      </c>
      <c r="E181" s="1" t="s">
        <v>544</v>
      </c>
      <c r="F181" s="1" t="s">
        <v>571</v>
      </c>
      <c r="G181" s="1">
        <v>8</v>
      </c>
      <c r="H181" s="1">
        <v>1723</v>
      </c>
    </row>
    <row r="182" spans="1:8" ht="15">
      <c r="A182" s="1" t="s">
        <v>10</v>
      </c>
      <c r="B182" s="1" t="s">
        <v>11</v>
      </c>
      <c r="C182" s="1" t="s">
        <v>572</v>
      </c>
      <c r="D182" s="1" t="s">
        <v>544</v>
      </c>
      <c r="E182" s="1" t="s">
        <v>544</v>
      </c>
      <c r="F182" s="1" t="s">
        <v>573</v>
      </c>
      <c r="G182" s="1">
        <v>6</v>
      </c>
      <c r="H182" s="1">
        <v>1290</v>
      </c>
    </row>
    <row r="183" spans="1:8" ht="15">
      <c r="A183" s="1" t="s">
        <v>10</v>
      </c>
      <c r="B183" s="1" t="s">
        <v>11</v>
      </c>
      <c r="C183" s="1" t="s">
        <v>574</v>
      </c>
      <c r="D183" s="1" t="s">
        <v>544</v>
      </c>
      <c r="E183" s="1" t="s">
        <v>544</v>
      </c>
      <c r="F183" s="1" t="s">
        <v>575</v>
      </c>
      <c r="G183" s="1">
        <v>3</v>
      </c>
      <c r="H183" s="1">
        <v>544</v>
      </c>
    </row>
    <row r="184" spans="1:8" ht="15">
      <c r="A184" s="1" t="s">
        <v>10</v>
      </c>
      <c r="B184" s="1" t="s">
        <v>11</v>
      </c>
      <c r="C184" s="1" t="s">
        <v>576</v>
      </c>
      <c r="D184" s="1" t="s">
        <v>544</v>
      </c>
      <c r="E184" s="1" t="s">
        <v>544</v>
      </c>
      <c r="F184" s="1" t="s">
        <v>577</v>
      </c>
      <c r="G184" s="1">
        <v>4</v>
      </c>
      <c r="H184" s="1">
        <v>422</v>
      </c>
    </row>
    <row r="185" spans="1:8" ht="15">
      <c r="A185" s="1" t="s">
        <v>10</v>
      </c>
      <c r="B185" s="1" t="s">
        <v>11</v>
      </c>
      <c r="C185" s="1" t="s">
        <v>578</v>
      </c>
      <c r="D185" s="1" t="s">
        <v>544</v>
      </c>
      <c r="E185" s="1" t="s">
        <v>544</v>
      </c>
      <c r="F185" s="1" t="s">
        <v>579</v>
      </c>
      <c r="G185" s="1">
        <v>8</v>
      </c>
      <c r="H185" s="1">
        <v>1398</v>
      </c>
    </row>
    <row r="186" spans="1:8" ht="15">
      <c r="A186" s="1" t="s">
        <v>10</v>
      </c>
      <c r="B186" s="1" t="s">
        <v>11</v>
      </c>
      <c r="C186" s="1" t="s">
        <v>580</v>
      </c>
      <c r="D186" s="1" t="s">
        <v>544</v>
      </c>
      <c r="E186" s="1" t="s">
        <v>544</v>
      </c>
      <c r="F186" s="1" t="s">
        <v>581</v>
      </c>
      <c r="G186" s="1">
        <v>7</v>
      </c>
      <c r="H186" s="1">
        <v>670</v>
      </c>
    </row>
    <row r="187" spans="1:8" ht="15">
      <c r="A187" s="1" t="s">
        <v>582</v>
      </c>
      <c r="B187" s="1" t="s">
        <v>583</v>
      </c>
      <c r="C187" s="1" t="s">
        <v>584</v>
      </c>
      <c r="D187" s="1" t="s">
        <v>544</v>
      </c>
      <c r="E187" s="1" t="s">
        <v>544</v>
      </c>
      <c r="F187" s="1" t="s">
        <v>585</v>
      </c>
      <c r="G187" s="1">
        <v>2</v>
      </c>
      <c r="H187" s="1">
        <v>483</v>
      </c>
    </row>
    <row r="188" spans="1:8" ht="15">
      <c r="A188" s="1" t="s">
        <v>27</v>
      </c>
      <c r="B188" s="1" t="s">
        <v>28</v>
      </c>
      <c r="C188" s="1" t="s">
        <v>586</v>
      </c>
      <c r="D188" s="1" t="s">
        <v>544</v>
      </c>
      <c r="E188" s="1" t="s">
        <v>544</v>
      </c>
      <c r="F188" s="1" t="s">
        <v>587</v>
      </c>
      <c r="G188" s="1">
        <v>1</v>
      </c>
      <c r="H188" s="1">
        <v>105</v>
      </c>
    </row>
    <row r="189" spans="1:8" ht="15">
      <c r="A189" s="1" t="s">
        <v>588</v>
      </c>
      <c r="B189" s="1" t="s">
        <v>589</v>
      </c>
      <c r="C189" s="1" t="s">
        <v>589</v>
      </c>
      <c r="D189" s="1" t="s">
        <v>544</v>
      </c>
      <c r="E189" s="1" t="s">
        <v>544</v>
      </c>
      <c r="F189" s="1" t="s">
        <v>590</v>
      </c>
      <c r="G189" s="1">
        <v>3</v>
      </c>
      <c r="H189" s="1">
        <v>421</v>
      </c>
    </row>
    <row r="190" spans="1:8" ht="15">
      <c r="A190" s="1" t="s">
        <v>588</v>
      </c>
      <c r="B190" s="1" t="s">
        <v>589</v>
      </c>
      <c r="C190" s="1" t="s">
        <v>591</v>
      </c>
      <c r="D190" s="1" t="s">
        <v>544</v>
      </c>
      <c r="E190" s="1" t="s">
        <v>544</v>
      </c>
      <c r="F190" s="1" t="s">
        <v>592</v>
      </c>
      <c r="G190" s="1">
        <v>1</v>
      </c>
      <c r="H190" s="1">
        <v>95</v>
      </c>
    </row>
    <row r="191" spans="1:8" ht="15">
      <c r="A191" s="1" t="s">
        <v>588</v>
      </c>
      <c r="B191" s="1" t="s">
        <v>589</v>
      </c>
      <c r="C191" s="1" t="s">
        <v>593</v>
      </c>
      <c r="D191" s="1" t="s">
        <v>544</v>
      </c>
      <c r="E191" s="1" t="s">
        <v>544</v>
      </c>
      <c r="F191" s="1" t="s">
        <v>594</v>
      </c>
      <c r="G191" s="1">
        <v>1</v>
      </c>
      <c r="H191" s="1">
        <v>100</v>
      </c>
    </row>
    <row r="192" spans="1:8" ht="15">
      <c r="A192" s="1" t="s">
        <v>31</v>
      </c>
      <c r="B192" s="1" t="s">
        <v>32</v>
      </c>
      <c r="C192" s="1" t="s">
        <v>595</v>
      </c>
      <c r="D192" s="1" t="s">
        <v>544</v>
      </c>
      <c r="E192" s="1" t="s">
        <v>544</v>
      </c>
      <c r="F192" s="1" t="s">
        <v>596</v>
      </c>
      <c r="G192" s="1">
        <v>6</v>
      </c>
      <c r="H192" s="1">
        <v>1282</v>
      </c>
    </row>
    <row r="193" spans="1:8" ht="15">
      <c r="A193" s="1" t="s">
        <v>31</v>
      </c>
      <c r="B193" s="1" t="s">
        <v>32</v>
      </c>
      <c r="C193" s="1" t="s">
        <v>597</v>
      </c>
      <c r="D193" s="1" t="s">
        <v>544</v>
      </c>
      <c r="E193" s="1" t="s">
        <v>544</v>
      </c>
      <c r="F193" s="1" t="s">
        <v>598</v>
      </c>
      <c r="G193" s="1">
        <v>6</v>
      </c>
      <c r="H193" s="1">
        <v>800</v>
      </c>
    </row>
    <row r="194" spans="1:8" ht="15">
      <c r="A194" s="1" t="s">
        <v>599</v>
      </c>
      <c r="B194" s="1" t="s">
        <v>600</v>
      </c>
      <c r="C194" s="1" t="s">
        <v>601</v>
      </c>
      <c r="D194" s="1" t="s">
        <v>544</v>
      </c>
      <c r="E194" s="1" t="s">
        <v>544</v>
      </c>
      <c r="F194" s="1" t="s">
        <v>602</v>
      </c>
      <c r="G194" s="1">
        <v>1</v>
      </c>
      <c r="H194" s="1">
        <v>450</v>
      </c>
    </row>
    <row r="195" spans="1:8" ht="15">
      <c r="A195" s="1" t="s">
        <v>148</v>
      </c>
      <c r="B195" s="1" t="s">
        <v>149</v>
      </c>
      <c r="C195" s="1" t="s">
        <v>603</v>
      </c>
      <c r="D195" s="1" t="s">
        <v>544</v>
      </c>
      <c r="E195" s="1" t="s">
        <v>544</v>
      </c>
      <c r="F195" s="1" t="s">
        <v>604</v>
      </c>
      <c r="G195" s="1">
        <v>10</v>
      </c>
      <c r="H195" s="1">
        <v>1499</v>
      </c>
    </row>
    <row r="196" spans="1:8" ht="15">
      <c r="A196" s="1" t="s">
        <v>148</v>
      </c>
      <c r="B196" s="1" t="s">
        <v>149</v>
      </c>
      <c r="C196" s="1" t="s">
        <v>605</v>
      </c>
      <c r="D196" s="1" t="s">
        <v>544</v>
      </c>
      <c r="E196" s="1" t="s">
        <v>544</v>
      </c>
      <c r="F196" s="1" t="s">
        <v>606</v>
      </c>
      <c r="G196" s="1">
        <v>5</v>
      </c>
      <c r="H196" s="1">
        <v>554</v>
      </c>
    </row>
    <row r="197" spans="1:8" ht="15">
      <c r="A197" s="1" t="s">
        <v>148</v>
      </c>
      <c r="B197" s="1" t="s">
        <v>149</v>
      </c>
      <c r="C197" s="1" t="s">
        <v>607</v>
      </c>
      <c r="D197" s="1" t="s">
        <v>544</v>
      </c>
      <c r="E197" s="1" t="s">
        <v>544</v>
      </c>
      <c r="F197" s="1" t="s">
        <v>608</v>
      </c>
      <c r="G197" s="1">
        <v>2</v>
      </c>
      <c r="H197" s="1">
        <v>797</v>
      </c>
    </row>
    <row r="198" spans="1:8" ht="15">
      <c r="A198" s="1" t="s">
        <v>148</v>
      </c>
      <c r="B198" s="1" t="s">
        <v>149</v>
      </c>
      <c r="C198" s="1" t="s">
        <v>609</v>
      </c>
      <c r="D198" s="1" t="s">
        <v>544</v>
      </c>
      <c r="E198" s="1" t="s">
        <v>544</v>
      </c>
      <c r="F198" s="1" t="s">
        <v>610</v>
      </c>
      <c r="G198" s="1">
        <v>5</v>
      </c>
      <c r="H198" s="1">
        <v>616</v>
      </c>
    </row>
    <row r="199" spans="1:8" ht="15">
      <c r="A199" s="1" t="s">
        <v>148</v>
      </c>
      <c r="B199" s="1" t="s">
        <v>149</v>
      </c>
      <c r="C199" s="1" t="s">
        <v>611</v>
      </c>
      <c r="D199" s="1" t="s">
        <v>544</v>
      </c>
      <c r="E199" s="1" t="s">
        <v>544</v>
      </c>
      <c r="F199" s="1" t="s">
        <v>612</v>
      </c>
      <c r="G199" s="1">
        <v>8</v>
      </c>
      <c r="H199" s="1">
        <v>650</v>
      </c>
    </row>
    <row r="200" spans="1:8" ht="15">
      <c r="A200" s="1" t="s">
        <v>148</v>
      </c>
      <c r="B200" s="1" t="s">
        <v>149</v>
      </c>
      <c r="C200" s="1" t="s">
        <v>613</v>
      </c>
      <c r="D200" s="1" t="s">
        <v>544</v>
      </c>
      <c r="E200" s="1" t="s">
        <v>544</v>
      </c>
      <c r="F200" s="1" t="s">
        <v>614</v>
      </c>
      <c r="G200" s="1">
        <v>8</v>
      </c>
      <c r="H200" s="1">
        <v>1076</v>
      </c>
    </row>
    <row r="201" spans="1:8" ht="15">
      <c r="A201" s="1" t="s">
        <v>148</v>
      </c>
      <c r="B201" s="1" t="s">
        <v>149</v>
      </c>
      <c r="C201" s="1" t="s">
        <v>615</v>
      </c>
      <c r="D201" s="1" t="s">
        <v>544</v>
      </c>
      <c r="E201" s="1" t="s">
        <v>544</v>
      </c>
      <c r="F201" s="1" t="s">
        <v>616</v>
      </c>
      <c r="G201" s="1">
        <v>3</v>
      </c>
      <c r="H201" s="1">
        <v>505</v>
      </c>
    </row>
    <row r="202" spans="1:8" ht="15">
      <c r="A202" s="1" t="s">
        <v>148</v>
      </c>
      <c r="B202" s="1" t="s">
        <v>149</v>
      </c>
      <c r="C202" s="1" t="s">
        <v>617</v>
      </c>
      <c r="D202" s="1" t="s">
        <v>544</v>
      </c>
      <c r="E202" s="1" t="s">
        <v>544</v>
      </c>
      <c r="F202" s="1" t="s">
        <v>618</v>
      </c>
      <c r="G202" s="1">
        <v>2</v>
      </c>
      <c r="H202" s="1">
        <v>760</v>
      </c>
    </row>
    <row r="203" spans="1:8" ht="15">
      <c r="A203" s="1" t="s">
        <v>148</v>
      </c>
      <c r="B203" s="1" t="s">
        <v>149</v>
      </c>
      <c r="C203" s="1" t="s">
        <v>619</v>
      </c>
      <c r="D203" s="1" t="s">
        <v>544</v>
      </c>
      <c r="E203" s="1" t="s">
        <v>544</v>
      </c>
      <c r="F203" s="1" t="s">
        <v>620</v>
      </c>
      <c r="G203" s="1">
        <v>6</v>
      </c>
      <c r="H203" s="1">
        <v>767</v>
      </c>
    </row>
    <row r="204" spans="1:8" ht="15">
      <c r="A204" s="1" t="s">
        <v>148</v>
      </c>
      <c r="B204" s="1" t="s">
        <v>149</v>
      </c>
      <c r="C204" s="1" t="s">
        <v>621</v>
      </c>
      <c r="D204" s="1" t="s">
        <v>544</v>
      </c>
      <c r="E204" s="1" t="s">
        <v>544</v>
      </c>
      <c r="F204" s="1" t="s">
        <v>622</v>
      </c>
      <c r="G204" s="1">
        <v>1</v>
      </c>
      <c r="H204" s="1">
        <v>606</v>
      </c>
    </row>
    <row r="205" spans="1:8" ht="15">
      <c r="A205" s="1" t="s">
        <v>623</v>
      </c>
      <c r="B205" s="1" t="s">
        <v>624</v>
      </c>
      <c r="C205" s="1" t="s">
        <v>624</v>
      </c>
      <c r="D205" s="1" t="s">
        <v>544</v>
      </c>
      <c r="E205" s="1" t="s">
        <v>544</v>
      </c>
      <c r="F205" s="1" t="s">
        <v>625</v>
      </c>
      <c r="G205" s="1">
        <v>4</v>
      </c>
      <c r="H205" s="1">
        <v>320</v>
      </c>
    </row>
    <row r="206" spans="1:8" ht="15">
      <c r="A206" s="1" t="s">
        <v>56</v>
      </c>
      <c r="B206" s="1" t="s">
        <v>57</v>
      </c>
      <c r="C206" s="1" t="s">
        <v>626</v>
      </c>
      <c r="D206" s="1" t="s">
        <v>544</v>
      </c>
      <c r="E206" s="1" t="s">
        <v>544</v>
      </c>
      <c r="F206" s="1" t="s">
        <v>627</v>
      </c>
      <c r="G206" s="1">
        <v>6</v>
      </c>
      <c r="H206" s="1">
        <v>390</v>
      </c>
    </row>
    <row r="207" spans="1:8" ht="15">
      <c r="A207" s="1" t="s">
        <v>56</v>
      </c>
      <c r="B207" s="1" t="s">
        <v>57</v>
      </c>
      <c r="C207" s="1" t="s">
        <v>628</v>
      </c>
      <c r="D207" s="1" t="s">
        <v>544</v>
      </c>
      <c r="E207" s="1" t="s">
        <v>544</v>
      </c>
      <c r="F207" s="1" t="s">
        <v>629</v>
      </c>
      <c r="G207" s="1">
        <v>6</v>
      </c>
      <c r="H207" s="1">
        <v>1581</v>
      </c>
    </row>
    <row r="208" spans="1:8" ht="15">
      <c r="A208" s="1" t="s">
        <v>56</v>
      </c>
      <c r="B208" s="1" t="s">
        <v>57</v>
      </c>
      <c r="C208" s="1" t="s">
        <v>630</v>
      </c>
      <c r="D208" s="1" t="s">
        <v>544</v>
      </c>
      <c r="E208" s="1" t="s">
        <v>544</v>
      </c>
      <c r="F208" s="1" t="s">
        <v>631</v>
      </c>
      <c r="G208" s="1">
        <v>5</v>
      </c>
      <c r="H208" s="1">
        <v>1436</v>
      </c>
    </row>
    <row r="209" spans="1:8" ht="15">
      <c r="A209" s="1" t="s">
        <v>56</v>
      </c>
      <c r="B209" s="1" t="s">
        <v>57</v>
      </c>
      <c r="C209" s="1" t="s">
        <v>632</v>
      </c>
      <c r="D209" s="1" t="s">
        <v>544</v>
      </c>
      <c r="E209" s="1" t="s">
        <v>544</v>
      </c>
      <c r="F209" s="1" t="s">
        <v>633</v>
      </c>
      <c r="G209" s="1">
        <v>9</v>
      </c>
      <c r="H209" s="1">
        <v>2094</v>
      </c>
    </row>
    <row r="210" spans="1:8" ht="15">
      <c r="A210" s="1" t="s">
        <v>56</v>
      </c>
      <c r="B210" s="1" t="s">
        <v>57</v>
      </c>
      <c r="C210" s="1" t="s">
        <v>634</v>
      </c>
      <c r="D210" s="1" t="s">
        <v>544</v>
      </c>
      <c r="E210" s="1" t="s">
        <v>544</v>
      </c>
      <c r="F210" s="1" t="s">
        <v>635</v>
      </c>
      <c r="G210" s="1">
        <v>4</v>
      </c>
      <c r="H210" s="1">
        <v>702</v>
      </c>
    </row>
    <row r="211" spans="1:8" ht="15">
      <c r="A211" s="1" t="s">
        <v>56</v>
      </c>
      <c r="B211" s="1" t="s">
        <v>57</v>
      </c>
      <c r="C211" s="1" t="s">
        <v>636</v>
      </c>
      <c r="D211" s="1" t="s">
        <v>544</v>
      </c>
      <c r="E211" s="1" t="s">
        <v>544</v>
      </c>
      <c r="F211" s="1" t="s">
        <v>637</v>
      </c>
      <c r="G211" s="1">
        <v>8</v>
      </c>
      <c r="H211" s="1">
        <v>939</v>
      </c>
    </row>
    <row r="212" spans="1:8" ht="15">
      <c r="A212" s="1" t="s">
        <v>56</v>
      </c>
      <c r="B212" s="1" t="s">
        <v>57</v>
      </c>
      <c r="C212" s="1" t="s">
        <v>638</v>
      </c>
      <c r="D212" s="1" t="s">
        <v>544</v>
      </c>
      <c r="E212" s="1" t="s">
        <v>544</v>
      </c>
      <c r="F212" s="1" t="s">
        <v>639</v>
      </c>
      <c r="G212" s="1">
        <v>9</v>
      </c>
      <c r="H212" s="1">
        <v>1191</v>
      </c>
    </row>
    <row r="213" spans="1:8" ht="15">
      <c r="A213" s="1" t="s">
        <v>56</v>
      </c>
      <c r="B213" s="1" t="s">
        <v>57</v>
      </c>
      <c r="C213" s="1" t="s">
        <v>640</v>
      </c>
      <c r="D213" s="1" t="s">
        <v>544</v>
      </c>
      <c r="E213" s="1" t="s">
        <v>544</v>
      </c>
      <c r="F213" s="1" t="s">
        <v>641</v>
      </c>
      <c r="G213" s="1">
        <v>6</v>
      </c>
      <c r="H213" s="1">
        <v>1556</v>
      </c>
    </row>
    <row r="214" spans="1:8" ht="15">
      <c r="A214" s="1" t="s">
        <v>642</v>
      </c>
      <c r="B214" s="1" t="s">
        <v>643</v>
      </c>
      <c r="C214" s="1" t="s">
        <v>644</v>
      </c>
      <c r="D214" s="1" t="s">
        <v>544</v>
      </c>
      <c r="E214" s="1" t="s">
        <v>544</v>
      </c>
      <c r="F214" s="1" t="s">
        <v>645</v>
      </c>
      <c r="G214" s="1">
        <v>9</v>
      </c>
      <c r="H214" s="1">
        <v>1337</v>
      </c>
    </row>
    <row r="215" spans="1:8" ht="15">
      <c r="A215" s="1" t="s">
        <v>70</v>
      </c>
      <c r="B215" s="1" t="s">
        <v>71</v>
      </c>
      <c r="C215" s="1" t="s">
        <v>646</v>
      </c>
      <c r="D215" s="1" t="s">
        <v>544</v>
      </c>
      <c r="E215" s="1" t="s">
        <v>544</v>
      </c>
      <c r="F215" s="1" t="s">
        <v>647</v>
      </c>
      <c r="G215" s="1">
        <v>8</v>
      </c>
      <c r="H215" s="1">
        <v>1213</v>
      </c>
    </row>
    <row r="216" spans="1:8" ht="15">
      <c r="A216" s="1" t="s">
        <v>70</v>
      </c>
      <c r="B216" s="1" t="s">
        <v>71</v>
      </c>
      <c r="C216" s="1" t="s">
        <v>648</v>
      </c>
      <c r="D216" s="1" t="s">
        <v>544</v>
      </c>
      <c r="E216" s="1" t="s">
        <v>544</v>
      </c>
      <c r="F216" s="1" t="s">
        <v>649</v>
      </c>
      <c r="G216" s="1">
        <v>9</v>
      </c>
      <c r="H216" s="1">
        <v>1353</v>
      </c>
    </row>
    <row r="217" spans="1:8" ht="15">
      <c r="A217" s="1" t="s">
        <v>70</v>
      </c>
      <c r="B217" s="1" t="s">
        <v>71</v>
      </c>
      <c r="C217" s="1" t="s">
        <v>650</v>
      </c>
      <c r="D217" s="1" t="s">
        <v>544</v>
      </c>
      <c r="E217" s="1" t="s">
        <v>544</v>
      </c>
      <c r="F217" s="1" t="s">
        <v>651</v>
      </c>
      <c r="G217" s="1">
        <v>9</v>
      </c>
      <c r="H217" s="1">
        <v>1551</v>
      </c>
    </row>
    <row r="218" spans="1:8" ht="15">
      <c r="A218" s="1" t="s">
        <v>70</v>
      </c>
      <c r="B218" s="1" t="s">
        <v>71</v>
      </c>
      <c r="C218" s="1" t="s">
        <v>652</v>
      </c>
      <c r="D218" s="1" t="s">
        <v>544</v>
      </c>
      <c r="E218" s="1" t="s">
        <v>544</v>
      </c>
      <c r="F218" s="1" t="s">
        <v>653</v>
      </c>
      <c r="G218" s="1">
        <v>7</v>
      </c>
      <c r="H218" s="1">
        <v>559</v>
      </c>
    </row>
    <row r="219" spans="1:8" ht="15">
      <c r="A219" s="1" t="s">
        <v>74</v>
      </c>
      <c r="B219" s="1" t="s">
        <v>32</v>
      </c>
      <c r="C219" s="1" t="s">
        <v>654</v>
      </c>
      <c r="D219" s="1" t="s">
        <v>544</v>
      </c>
      <c r="E219" s="1" t="s">
        <v>544</v>
      </c>
      <c r="F219" s="1" t="s">
        <v>655</v>
      </c>
      <c r="G219" s="1">
        <v>9</v>
      </c>
      <c r="H219" s="1">
        <v>1184</v>
      </c>
    </row>
    <row r="220" spans="1:8" ht="15">
      <c r="A220" s="1" t="s">
        <v>74</v>
      </c>
      <c r="B220" s="1" t="s">
        <v>32</v>
      </c>
      <c r="C220" s="1" t="s">
        <v>656</v>
      </c>
      <c r="D220" s="1" t="s">
        <v>544</v>
      </c>
      <c r="E220" s="1" t="s">
        <v>544</v>
      </c>
      <c r="F220" s="1" t="s">
        <v>657</v>
      </c>
      <c r="G220" s="1">
        <v>11</v>
      </c>
      <c r="H220" s="1">
        <v>2068</v>
      </c>
    </row>
    <row r="221" spans="1:8" ht="15">
      <c r="A221" s="1" t="s">
        <v>74</v>
      </c>
      <c r="B221" s="1" t="s">
        <v>32</v>
      </c>
      <c r="C221" s="1" t="s">
        <v>658</v>
      </c>
      <c r="D221" s="1" t="s">
        <v>544</v>
      </c>
      <c r="E221" s="1" t="s">
        <v>544</v>
      </c>
      <c r="F221" s="1" t="s">
        <v>659</v>
      </c>
      <c r="G221" s="1">
        <v>5</v>
      </c>
      <c r="H221" s="1">
        <v>735</v>
      </c>
    </row>
    <row r="222" spans="1:8" ht="15">
      <c r="A222" s="1" t="s">
        <v>660</v>
      </c>
      <c r="B222" s="1" t="s">
        <v>661</v>
      </c>
      <c r="C222" s="1" t="s">
        <v>662</v>
      </c>
      <c r="D222" s="1" t="s">
        <v>544</v>
      </c>
      <c r="E222" s="1" t="s">
        <v>544</v>
      </c>
      <c r="F222" s="1" t="s">
        <v>663</v>
      </c>
      <c r="G222" s="1">
        <v>1</v>
      </c>
      <c r="H222" s="1">
        <v>25</v>
      </c>
    </row>
    <row r="223" spans="1:8" ht="15">
      <c r="A223" s="1" t="s">
        <v>10</v>
      </c>
      <c r="B223" s="1" t="s">
        <v>11</v>
      </c>
      <c r="C223" s="1" t="s">
        <v>664</v>
      </c>
      <c r="D223" s="1" t="s">
        <v>665</v>
      </c>
      <c r="E223" s="1" t="s">
        <v>666</v>
      </c>
      <c r="F223" s="1" t="s">
        <v>667</v>
      </c>
      <c r="G223" s="1">
        <v>8</v>
      </c>
      <c r="H223" s="1">
        <v>1614</v>
      </c>
    </row>
    <row r="224" spans="1:8" ht="15">
      <c r="A224" s="1" t="s">
        <v>10</v>
      </c>
      <c r="B224" s="1" t="s">
        <v>11</v>
      </c>
      <c r="C224" s="1" t="s">
        <v>668</v>
      </c>
      <c r="D224" s="1" t="s">
        <v>665</v>
      </c>
      <c r="E224" s="1" t="s">
        <v>666</v>
      </c>
      <c r="F224" s="1" t="s">
        <v>669</v>
      </c>
      <c r="G224" s="1">
        <v>5</v>
      </c>
      <c r="H224" s="1">
        <v>836</v>
      </c>
    </row>
    <row r="225" spans="1:8" ht="15">
      <c r="A225" s="1" t="s">
        <v>670</v>
      </c>
      <c r="B225" s="1" t="s">
        <v>671</v>
      </c>
      <c r="C225" s="1" t="s">
        <v>672</v>
      </c>
      <c r="D225" s="1" t="s">
        <v>665</v>
      </c>
      <c r="E225" s="1" t="s">
        <v>666</v>
      </c>
      <c r="F225" s="1" t="s">
        <v>673</v>
      </c>
      <c r="G225" s="1">
        <v>1</v>
      </c>
      <c r="H225" s="1">
        <v>70</v>
      </c>
    </row>
    <row r="226" spans="1:8" ht="15">
      <c r="A226" s="1" t="s">
        <v>674</v>
      </c>
      <c r="B226" s="1" t="s">
        <v>32</v>
      </c>
      <c r="C226" s="1" t="s">
        <v>675</v>
      </c>
      <c r="D226" s="1" t="s">
        <v>665</v>
      </c>
      <c r="E226" s="1" t="s">
        <v>676</v>
      </c>
      <c r="F226" s="1" t="s">
        <v>677</v>
      </c>
      <c r="G226" s="1">
        <v>3</v>
      </c>
      <c r="H226" s="1">
        <v>540</v>
      </c>
    </row>
    <row r="227" spans="1:8" ht="15">
      <c r="A227" s="1" t="s">
        <v>31</v>
      </c>
      <c r="B227" s="1" t="s">
        <v>32</v>
      </c>
      <c r="C227" s="1" t="s">
        <v>678</v>
      </c>
      <c r="D227" s="1" t="s">
        <v>665</v>
      </c>
      <c r="E227" s="1" t="s">
        <v>666</v>
      </c>
      <c r="F227" s="1" t="s">
        <v>679</v>
      </c>
      <c r="G227" s="1">
        <v>8</v>
      </c>
      <c r="H227" s="1">
        <v>1387</v>
      </c>
    </row>
    <row r="228" spans="1:8" ht="15">
      <c r="A228" s="1" t="s">
        <v>31</v>
      </c>
      <c r="B228" s="1" t="s">
        <v>32</v>
      </c>
      <c r="C228" s="1" t="s">
        <v>680</v>
      </c>
      <c r="D228" s="1" t="s">
        <v>665</v>
      </c>
      <c r="E228" s="1" t="s">
        <v>666</v>
      </c>
      <c r="F228" s="1" t="s">
        <v>681</v>
      </c>
      <c r="G228" s="1">
        <v>2</v>
      </c>
      <c r="H228" s="1">
        <v>303</v>
      </c>
    </row>
    <row r="229" spans="1:8" ht="15">
      <c r="A229" s="1" t="s">
        <v>31</v>
      </c>
      <c r="B229" s="1" t="s">
        <v>32</v>
      </c>
      <c r="C229" s="1" t="s">
        <v>682</v>
      </c>
      <c r="D229" s="1" t="s">
        <v>665</v>
      </c>
      <c r="E229" s="1" t="s">
        <v>666</v>
      </c>
      <c r="F229" s="1" t="s">
        <v>683</v>
      </c>
      <c r="G229" s="1">
        <v>7</v>
      </c>
      <c r="H229" s="1">
        <v>1212</v>
      </c>
    </row>
    <row r="230" spans="1:8" ht="15">
      <c r="A230" s="1" t="s">
        <v>31</v>
      </c>
      <c r="B230" s="1" t="s">
        <v>32</v>
      </c>
      <c r="C230" s="1" t="s">
        <v>684</v>
      </c>
      <c r="D230" s="1" t="s">
        <v>665</v>
      </c>
      <c r="E230" s="1" t="s">
        <v>666</v>
      </c>
      <c r="F230" s="1" t="s">
        <v>685</v>
      </c>
      <c r="G230" s="1">
        <v>7</v>
      </c>
      <c r="H230" s="1">
        <v>1684</v>
      </c>
    </row>
    <row r="231" spans="1:8" ht="15">
      <c r="A231" s="1" t="s">
        <v>56</v>
      </c>
      <c r="B231" s="1" t="s">
        <v>57</v>
      </c>
      <c r="C231" s="1" t="s">
        <v>686</v>
      </c>
      <c r="D231" s="1" t="s">
        <v>665</v>
      </c>
      <c r="E231" s="1" t="s">
        <v>687</v>
      </c>
      <c r="F231" s="1" t="s">
        <v>688</v>
      </c>
      <c r="G231" s="1">
        <v>7</v>
      </c>
      <c r="H231" s="1">
        <v>1344</v>
      </c>
    </row>
    <row r="232" spans="1:8" ht="15">
      <c r="A232" s="1" t="s">
        <v>70</v>
      </c>
      <c r="B232" s="1" t="s">
        <v>71</v>
      </c>
      <c r="C232" s="1" t="s">
        <v>689</v>
      </c>
      <c r="D232" s="1" t="s">
        <v>665</v>
      </c>
      <c r="E232" s="1" t="s">
        <v>666</v>
      </c>
      <c r="F232" s="1" t="s">
        <v>690</v>
      </c>
      <c r="G232" s="1">
        <v>5</v>
      </c>
      <c r="H232" s="1">
        <v>410</v>
      </c>
    </row>
    <row r="233" spans="1:8" ht="15">
      <c r="A233" s="1" t="s">
        <v>130</v>
      </c>
      <c r="B233" s="1" t="s">
        <v>131</v>
      </c>
      <c r="C233" s="1" t="s">
        <v>691</v>
      </c>
      <c r="D233" s="1" t="s">
        <v>665</v>
      </c>
      <c r="E233" s="1" t="s">
        <v>687</v>
      </c>
      <c r="F233" s="1" t="s">
        <v>692</v>
      </c>
      <c r="G233" s="1">
        <v>6</v>
      </c>
      <c r="H233" s="1">
        <v>949</v>
      </c>
    </row>
    <row r="234" spans="1:8" ht="15">
      <c r="A234" s="1" t="s">
        <v>74</v>
      </c>
      <c r="B234" s="1" t="s">
        <v>32</v>
      </c>
      <c r="C234" s="1" t="s">
        <v>693</v>
      </c>
      <c r="D234" s="1" t="s">
        <v>665</v>
      </c>
      <c r="E234" s="1" t="s">
        <v>666</v>
      </c>
      <c r="F234" s="1" t="s">
        <v>694</v>
      </c>
      <c r="G234" s="1">
        <v>7</v>
      </c>
      <c r="H234" s="1">
        <v>1208</v>
      </c>
    </row>
    <row r="235" spans="1:8" ht="15">
      <c r="A235" s="1" t="s">
        <v>695</v>
      </c>
      <c r="B235" s="1" t="s">
        <v>696</v>
      </c>
      <c r="C235" s="1" t="s">
        <v>697</v>
      </c>
      <c r="D235" s="1" t="s">
        <v>698</v>
      </c>
      <c r="E235" s="1" t="s">
        <v>699</v>
      </c>
      <c r="F235" s="1" t="s">
        <v>700</v>
      </c>
      <c r="G235" s="1">
        <v>2</v>
      </c>
      <c r="H235" s="1">
        <v>280</v>
      </c>
    </row>
    <row r="236" spans="1:8" ht="15">
      <c r="A236" s="1" t="s">
        <v>10</v>
      </c>
      <c r="B236" s="1" t="s">
        <v>11</v>
      </c>
      <c r="C236" s="1" t="s">
        <v>701</v>
      </c>
      <c r="D236" s="1" t="s">
        <v>698</v>
      </c>
      <c r="E236" s="1" t="s">
        <v>702</v>
      </c>
      <c r="F236" s="1" t="s">
        <v>703</v>
      </c>
      <c r="G236" s="1">
        <v>14</v>
      </c>
      <c r="H236" s="1">
        <v>2191</v>
      </c>
    </row>
    <row r="237" spans="1:8" ht="15">
      <c r="A237" s="1" t="s">
        <v>10</v>
      </c>
      <c r="B237" s="1" t="s">
        <v>11</v>
      </c>
      <c r="C237" s="1" t="s">
        <v>704</v>
      </c>
      <c r="D237" s="1" t="s">
        <v>698</v>
      </c>
      <c r="E237" s="1" t="s">
        <v>699</v>
      </c>
      <c r="F237" s="1" t="s">
        <v>705</v>
      </c>
      <c r="G237" s="1">
        <v>5</v>
      </c>
      <c r="H237" s="1">
        <v>712</v>
      </c>
    </row>
    <row r="238" spans="1:8" ht="15">
      <c r="A238" s="1" t="s">
        <v>10</v>
      </c>
      <c r="B238" s="1" t="s">
        <v>11</v>
      </c>
      <c r="C238" s="1" t="s">
        <v>706</v>
      </c>
      <c r="D238" s="1" t="s">
        <v>698</v>
      </c>
      <c r="E238" s="1" t="s">
        <v>699</v>
      </c>
      <c r="F238" s="1" t="s">
        <v>707</v>
      </c>
      <c r="G238" s="1">
        <v>10</v>
      </c>
      <c r="H238" s="1">
        <v>1622</v>
      </c>
    </row>
    <row r="239" spans="1:8" ht="15">
      <c r="A239" s="1" t="s">
        <v>10</v>
      </c>
      <c r="B239" s="1" t="s">
        <v>11</v>
      </c>
      <c r="C239" s="1" t="s">
        <v>708</v>
      </c>
      <c r="D239" s="1" t="s">
        <v>698</v>
      </c>
      <c r="E239" s="1" t="s">
        <v>699</v>
      </c>
      <c r="F239" s="1" t="s">
        <v>709</v>
      </c>
      <c r="G239" s="1">
        <v>7</v>
      </c>
      <c r="H239" s="1">
        <v>1593</v>
      </c>
    </row>
    <row r="240" spans="1:8" ht="15">
      <c r="A240" s="1" t="s">
        <v>10</v>
      </c>
      <c r="B240" s="1" t="s">
        <v>11</v>
      </c>
      <c r="C240" s="1" t="s">
        <v>710</v>
      </c>
      <c r="D240" s="1" t="s">
        <v>698</v>
      </c>
      <c r="E240" s="1" t="s">
        <v>699</v>
      </c>
      <c r="F240" s="1" t="s">
        <v>711</v>
      </c>
      <c r="G240" s="1">
        <v>6</v>
      </c>
      <c r="H240" s="1">
        <v>928</v>
      </c>
    </row>
    <row r="241" spans="1:8" ht="15">
      <c r="A241" s="1" t="s">
        <v>10</v>
      </c>
      <c r="B241" s="1" t="s">
        <v>11</v>
      </c>
      <c r="C241" s="1" t="s">
        <v>712</v>
      </c>
      <c r="D241" s="1" t="s">
        <v>698</v>
      </c>
      <c r="E241" s="1" t="s">
        <v>699</v>
      </c>
      <c r="F241" s="1" t="s">
        <v>713</v>
      </c>
      <c r="G241" s="1">
        <v>6</v>
      </c>
      <c r="H241" s="1">
        <v>1216</v>
      </c>
    </row>
    <row r="242" spans="1:8" ht="15">
      <c r="A242" s="1" t="s">
        <v>714</v>
      </c>
      <c r="B242" s="1" t="s">
        <v>715</v>
      </c>
      <c r="C242" s="1" t="s">
        <v>716</v>
      </c>
      <c r="D242" s="1" t="s">
        <v>698</v>
      </c>
      <c r="E242" s="1" t="s">
        <v>699</v>
      </c>
      <c r="F242" s="1" t="s">
        <v>717</v>
      </c>
      <c r="G242" s="1">
        <v>1</v>
      </c>
      <c r="H242" s="1">
        <v>12</v>
      </c>
    </row>
    <row r="243" spans="1:8" ht="15">
      <c r="A243" s="1" t="s">
        <v>718</v>
      </c>
      <c r="B243" s="1" t="s">
        <v>719</v>
      </c>
      <c r="C243" s="1" t="s">
        <v>719</v>
      </c>
      <c r="D243" s="1" t="s">
        <v>698</v>
      </c>
      <c r="E243" s="1" t="s">
        <v>699</v>
      </c>
      <c r="F243" s="1" t="s">
        <v>720</v>
      </c>
      <c r="G243" s="1">
        <v>1</v>
      </c>
      <c r="H243" s="1">
        <v>32</v>
      </c>
    </row>
    <row r="244" spans="1:8" ht="15">
      <c r="A244" s="1" t="s">
        <v>721</v>
      </c>
      <c r="B244" s="1" t="s">
        <v>722</v>
      </c>
      <c r="C244" s="1" t="s">
        <v>723</v>
      </c>
      <c r="D244" s="1" t="s">
        <v>698</v>
      </c>
      <c r="E244" s="1" t="s">
        <v>699</v>
      </c>
      <c r="F244" s="1" t="s">
        <v>724</v>
      </c>
      <c r="G244" s="1">
        <v>1</v>
      </c>
      <c r="H244" s="1">
        <v>256</v>
      </c>
    </row>
    <row r="245" spans="1:8" ht="15">
      <c r="A245" s="1" t="s">
        <v>31</v>
      </c>
      <c r="B245" s="1" t="s">
        <v>32</v>
      </c>
      <c r="C245" s="1" t="s">
        <v>725</v>
      </c>
      <c r="D245" s="1" t="s">
        <v>698</v>
      </c>
      <c r="E245" s="1" t="s">
        <v>699</v>
      </c>
      <c r="F245" s="1" t="s">
        <v>726</v>
      </c>
      <c r="G245" s="1">
        <v>6</v>
      </c>
      <c r="H245" s="1">
        <v>1160</v>
      </c>
    </row>
    <row r="246" spans="1:8" ht="15">
      <c r="A246" s="1" t="s">
        <v>31</v>
      </c>
      <c r="B246" s="1" t="s">
        <v>32</v>
      </c>
      <c r="C246" s="1" t="s">
        <v>727</v>
      </c>
      <c r="D246" s="1" t="s">
        <v>698</v>
      </c>
      <c r="E246" s="1" t="s">
        <v>728</v>
      </c>
      <c r="F246" s="1" t="s">
        <v>729</v>
      </c>
      <c r="G246" s="1">
        <v>5</v>
      </c>
      <c r="H246" s="1">
        <v>885</v>
      </c>
    </row>
    <row r="247" spans="1:8" ht="15">
      <c r="A247" s="1" t="s">
        <v>31</v>
      </c>
      <c r="B247" s="1" t="s">
        <v>32</v>
      </c>
      <c r="C247" s="1" t="s">
        <v>730</v>
      </c>
      <c r="D247" s="1" t="s">
        <v>698</v>
      </c>
      <c r="E247" s="1" t="s">
        <v>699</v>
      </c>
      <c r="F247" s="1" t="s">
        <v>731</v>
      </c>
      <c r="G247" s="1">
        <v>6</v>
      </c>
      <c r="H247" s="1">
        <v>940</v>
      </c>
    </row>
    <row r="248" spans="1:8" ht="15">
      <c r="A248" s="1" t="s">
        <v>31</v>
      </c>
      <c r="B248" s="1" t="s">
        <v>32</v>
      </c>
      <c r="C248" s="1" t="s">
        <v>732</v>
      </c>
      <c r="D248" s="1" t="s">
        <v>698</v>
      </c>
      <c r="E248" s="1" t="s">
        <v>733</v>
      </c>
      <c r="F248" s="1" t="s">
        <v>734</v>
      </c>
      <c r="G248" s="1">
        <v>4</v>
      </c>
      <c r="H248" s="1">
        <v>482</v>
      </c>
    </row>
    <row r="249" spans="1:8" ht="15">
      <c r="A249" s="1" t="s">
        <v>31</v>
      </c>
      <c r="B249" s="1" t="s">
        <v>32</v>
      </c>
      <c r="C249" s="1" t="s">
        <v>735</v>
      </c>
      <c r="D249" s="1" t="s">
        <v>698</v>
      </c>
      <c r="E249" s="1" t="s">
        <v>699</v>
      </c>
      <c r="F249" s="1" t="s">
        <v>736</v>
      </c>
      <c r="G249" s="1">
        <v>6</v>
      </c>
      <c r="H249" s="1">
        <v>1279</v>
      </c>
    </row>
    <row r="250" spans="1:8" ht="15">
      <c r="A250" s="1" t="s">
        <v>148</v>
      </c>
      <c r="B250" s="1" t="s">
        <v>149</v>
      </c>
      <c r="C250" s="1" t="s">
        <v>737</v>
      </c>
      <c r="D250" s="1" t="s">
        <v>698</v>
      </c>
      <c r="E250" s="1" t="s">
        <v>699</v>
      </c>
      <c r="F250" s="1" t="s">
        <v>738</v>
      </c>
      <c r="G250" s="1">
        <v>3</v>
      </c>
      <c r="H250" s="1">
        <v>317</v>
      </c>
    </row>
    <row r="251" spans="1:8" ht="15">
      <c r="A251" s="1" t="s">
        <v>56</v>
      </c>
      <c r="B251" s="1" t="s">
        <v>57</v>
      </c>
      <c r="C251" s="1" t="s">
        <v>739</v>
      </c>
      <c r="D251" s="1" t="s">
        <v>698</v>
      </c>
      <c r="E251" s="1" t="s">
        <v>699</v>
      </c>
      <c r="F251" s="1" t="s">
        <v>740</v>
      </c>
      <c r="G251" s="1">
        <v>9</v>
      </c>
      <c r="H251" s="1">
        <v>1416</v>
      </c>
    </row>
    <row r="252" spans="1:8" ht="15">
      <c r="A252" s="1" t="s">
        <v>56</v>
      </c>
      <c r="B252" s="1" t="s">
        <v>57</v>
      </c>
      <c r="C252" s="1" t="s">
        <v>741</v>
      </c>
      <c r="D252" s="1" t="s">
        <v>698</v>
      </c>
      <c r="E252" s="1" t="s">
        <v>699</v>
      </c>
      <c r="F252" s="1" t="s">
        <v>742</v>
      </c>
      <c r="G252" s="1">
        <v>10</v>
      </c>
      <c r="H252" s="1">
        <v>1287</v>
      </c>
    </row>
    <row r="253" spans="1:8" ht="15">
      <c r="A253" s="1" t="s">
        <v>743</v>
      </c>
      <c r="B253" s="1" t="s">
        <v>744</v>
      </c>
      <c r="C253" s="1" t="s">
        <v>745</v>
      </c>
      <c r="D253" s="1" t="s">
        <v>698</v>
      </c>
      <c r="E253" s="1" t="s">
        <v>746</v>
      </c>
      <c r="F253" s="1" t="s">
        <v>747</v>
      </c>
      <c r="G253" s="1">
        <v>5</v>
      </c>
      <c r="H253" s="1">
        <v>996</v>
      </c>
    </row>
    <row r="254" spans="1:8" ht="15">
      <c r="A254" s="1" t="s">
        <v>743</v>
      </c>
      <c r="B254" s="1" t="s">
        <v>744</v>
      </c>
      <c r="C254" s="1" t="s">
        <v>748</v>
      </c>
      <c r="D254" s="1" t="s">
        <v>698</v>
      </c>
      <c r="E254" s="1" t="s">
        <v>746</v>
      </c>
      <c r="F254" s="1" t="s">
        <v>749</v>
      </c>
      <c r="G254" s="1">
        <v>9</v>
      </c>
      <c r="H254" s="1">
        <v>1339</v>
      </c>
    </row>
    <row r="255" spans="1:8" ht="15">
      <c r="A255" s="1" t="s">
        <v>743</v>
      </c>
      <c r="B255" s="1" t="s">
        <v>744</v>
      </c>
      <c r="C255" s="1" t="s">
        <v>750</v>
      </c>
      <c r="D255" s="1" t="s">
        <v>698</v>
      </c>
      <c r="E255" s="1" t="s">
        <v>751</v>
      </c>
      <c r="F255" s="1" t="s">
        <v>752</v>
      </c>
      <c r="G255" s="1">
        <v>7</v>
      </c>
      <c r="H255" s="1">
        <v>1164</v>
      </c>
    </row>
    <row r="256" spans="1:8" ht="15">
      <c r="A256" s="1" t="s">
        <v>743</v>
      </c>
      <c r="B256" s="1" t="s">
        <v>744</v>
      </c>
      <c r="C256" s="1" t="s">
        <v>753</v>
      </c>
      <c r="D256" s="1" t="s">
        <v>698</v>
      </c>
      <c r="E256" s="1" t="s">
        <v>699</v>
      </c>
      <c r="F256" s="1" t="s">
        <v>754</v>
      </c>
      <c r="G256" s="1">
        <v>5</v>
      </c>
      <c r="H256" s="1">
        <v>917</v>
      </c>
    </row>
    <row r="257" spans="1:8" ht="15">
      <c r="A257" s="1" t="s">
        <v>743</v>
      </c>
      <c r="B257" s="1" t="s">
        <v>744</v>
      </c>
      <c r="C257" s="1" t="s">
        <v>755</v>
      </c>
      <c r="D257" s="1" t="s">
        <v>698</v>
      </c>
      <c r="E257" s="1" t="s">
        <v>699</v>
      </c>
      <c r="F257" s="1" t="s">
        <v>756</v>
      </c>
      <c r="G257" s="1">
        <v>7</v>
      </c>
      <c r="H257" s="1">
        <v>1184</v>
      </c>
    </row>
    <row r="258" spans="1:8" ht="15">
      <c r="A258" s="1" t="s">
        <v>743</v>
      </c>
      <c r="B258" s="1" t="s">
        <v>744</v>
      </c>
      <c r="C258" s="1" t="s">
        <v>757</v>
      </c>
      <c r="D258" s="1" t="s">
        <v>698</v>
      </c>
      <c r="E258" s="1" t="s">
        <v>758</v>
      </c>
      <c r="F258" s="1" t="s">
        <v>759</v>
      </c>
      <c r="G258" s="1">
        <v>4</v>
      </c>
      <c r="H258" s="1">
        <v>668</v>
      </c>
    </row>
    <row r="259" spans="1:8" ht="15">
      <c r="A259" s="1" t="s">
        <v>743</v>
      </c>
      <c r="B259" s="1" t="s">
        <v>744</v>
      </c>
      <c r="C259" s="1" t="s">
        <v>760</v>
      </c>
      <c r="D259" s="1" t="s">
        <v>698</v>
      </c>
      <c r="E259" s="1" t="s">
        <v>746</v>
      </c>
      <c r="F259" s="1" t="s">
        <v>761</v>
      </c>
      <c r="G259" s="1">
        <v>7</v>
      </c>
      <c r="H259" s="1">
        <v>1072</v>
      </c>
    </row>
    <row r="260" spans="1:8" ht="15">
      <c r="A260" s="1" t="s">
        <v>743</v>
      </c>
      <c r="B260" s="1" t="s">
        <v>744</v>
      </c>
      <c r="C260" s="1" t="s">
        <v>762</v>
      </c>
      <c r="D260" s="1" t="s">
        <v>698</v>
      </c>
      <c r="E260" s="1" t="s">
        <v>763</v>
      </c>
      <c r="F260" s="1" t="s">
        <v>764</v>
      </c>
      <c r="G260" s="1">
        <v>5</v>
      </c>
      <c r="H260" s="1">
        <v>843</v>
      </c>
    </row>
    <row r="261" spans="1:8" ht="15">
      <c r="A261" s="1" t="s">
        <v>292</v>
      </c>
      <c r="B261" s="1" t="s">
        <v>293</v>
      </c>
      <c r="C261" s="1" t="s">
        <v>765</v>
      </c>
      <c r="D261" s="1" t="s">
        <v>698</v>
      </c>
      <c r="E261" s="1" t="s">
        <v>766</v>
      </c>
      <c r="F261" s="1" t="s">
        <v>767</v>
      </c>
      <c r="G261" s="1">
        <v>5</v>
      </c>
      <c r="H261" s="1">
        <v>987</v>
      </c>
    </row>
    <row r="262" spans="1:8" ht="15">
      <c r="A262" s="1" t="s">
        <v>70</v>
      </c>
      <c r="B262" s="1" t="s">
        <v>71</v>
      </c>
      <c r="C262" s="1" t="s">
        <v>768</v>
      </c>
      <c r="D262" s="1" t="s">
        <v>698</v>
      </c>
      <c r="E262" s="1" t="s">
        <v>702</v>
      </c>
      <c r="F262" s="1" t="s">
        <v>769</v>
      </c>
      <c r="G262" s="1">
        <v>6</v>
      </c>
      <c r="H262" s="1">
        <v>1132</v>
      </c>
    </row>
    <row r="263" spans="1:8" ht="15">
      <c r="A263" s="1" t="s">
        <v>130</v>
      </c>
      <c r="B263" s="1" t="s">
        <v>131</v>
      </c>
      <c r="C263" s="1" t="s">
        <v>770</v>
      </c>
      <c r="D263" s="1" t="s">
        <v>698</v>
      </c>
      <c r="E263" s="1" t="s">
        <v>699</v>
      </c>
      <c r="F263" s="1" t="s">
        <v>771</v>
      </c>
      <c r="G263" s="1">
        <v>3</v>
      </c>
      <c r="H263" s="1">
        <v>237</v>
      </c>
    </row>
    <row r="264" spans="1:8" ht="15">
      <c r="A264" s="1" t="s">
        <v>130</v>
      </c>
      <c r="B264" s="1" t="s">
        <v>131</v>
      </c>
      <c r="C264" s="1" t="s">
        <v>772</v>
      </c>
      <c r="D264" s="1" t="s">
        <v>698</v>
      </c>
      <c r="E264" s="1" t="s">
        <v>699</v>
      </c>
      <c r="F264" s="1" t="s">
        <v>773</v>
      </c>
      <c r="G264" s="1">
        <v>5</v>
      </c>
      <c r="H264" s="1">
        <v>538</v>
      </c>
    </row>
    <row r="265" spans="1:8" ht="15">
      <c r="A265" s="1" t="s">
        <v>130</v>
      </c>
      <c r="B265" s="1" t="s">
        <v>131</v>
      </c>
      <c r="C265" s="1" t="s">
        <v>774</v>
      </c>
      <c r="D265" s="1" t="s">
        <v>698</v>
      </c>
      <c r="E265" s="1" t="s">
        <v>766</v>
      </c>
      <c r="F265" s="1" t="s">
        <v>775</v>
      </c>
      <c r="G265" s="1">
        <v>3</v>
      </c>
      <c r="H265" s="1">
        <v>505</v>
      </c>
    </row>
    <row r="266" spans="1:8" ht="15">
      <c r="A266" s="1" t="s">
        <v>130</v>
      </c>
      <c r="B266" s="1" t="s">
        <v>131</v>
      </c>
      <c r="C266" s="1" t="s">
        <v>776</v>
      </c>
      <c r="D266" s="1" t="s">
        <v>698</v>
      </c>
      <c r="E266" s="1" t="s">
        <v>751</v>
      </c>
      <c r="F266" s="1" t="s">
        <v>777</v>
      </c>
      <c r="G266" s="1">
        <v>4</v>
      </c>
      <c r="H266" s="1">
        <v>594</v>
      </c>
    </row>
    <row r="267" spans="1:8" ht="15">
      <c r="A267" s="1" t="s">
        <v>778</v>
      </c>
      <c r="B267" s="1" t="s">
        <v>779</v>
      </c>
      <c r="C267" s="1" t="s">
        <v>780</v>
      </c>
      <c r="D267" s="1" t="s">
        <v>698</v>
      </c>
      <c r="E267" s="1" t="s">
        <v>699</v>
      </c>
      <c r="F267" s="1" t="s">
        <v>781</v>
      </c>
      <c r="G267" s="1">
        <v>1</v>
      </c>
      <c r="H267" s="1">
        <v>75</v>
      </c>
    </row>
    <row r="268" spans="1:8" ht="15">
      <c r="A268" s="1" t="s">
        <v>778</v>
      </c>
      <c r="B268" s="1" t="s">
        <v>779</v>
      </c>
      <c r="C268" s="1" t="s">
        <v>782</v>
      </c>
      <c r="D268" s="1" t="s">
        <v>698</v>
      </c>
      <c r="E268" s="1" t="s">
        <v>699</v>
      </c>
      <c r="F268" s="1" t="s">
        <v>783</v>
      </c>
      <c r="G268" s="1">
        <v>1</v>
      </c>
      <c r="H268" s="1">
        <v>289</v>
      </c>
    </row>
    <row r="269" spans="1:8" ht="15">
      <c r="A269" s="1" t="s">
        <v>778</v>
      </c>
      <c r="B269" s="1" t="s">
        <v>779</v>
      </c>
      <c r="C269" s="1" t="s">
        <v>784</v>
      </c>
      <c r="D269" s="1" t="s">
        <v>698</v>
      </c>
      <c r="E269" s="1" t="s">
        <v>702</v>
      </c>
      <c r="F269" s="1" t="s">
        <v>785</v>
      </c>
      <c r="G269" s="1">
        <v>1</v>
      </c>
      <c r="H269" s="1">
        <v>208</v>
      </c>
    </row>
    <row r="270" spans="1:8" ht="15">
      <c r="A270" s="1" t="s">
        <v>786</v>
      </c>
      <c r="B270" s="1" t="s">
        <v>787</v>
      </c>
      <c r="C270" s="1" t="s">
        <v>787</v>
      </c>
      <c r="D270" s="1" t="s">
        <v>698</v>
      </c>
      <c r="E270" s="1" t="s">
        <v>788</v>
      </c>
      <c r="F270" s="1" t="s">
        <v>789</v>
      </c>
      <c r="G270" s="1">
        <v>1</v>
      </c>
      <c r="H270" s="1">
        <v>60</v>
      </c>
    </row>
    <row r="271" spans="1:8" ht="15">
      <c r="A271" s="1" t="s">
        <v>111</v>
      </c>
      <c r="B271" s="1" t="s">
        <v>790</v>
      </c>
      <c r="C271" s="1" t="s">
        <v>791</v>
      </c>
      <c r="D271" s="1" t="s">
        <v>698</v>
      </c>
      <c r="E271" s="1" t="s">
        <v>699</v>
      </c>
      <c r="F271" s="1" t="s">
        <v>792</v>
      </c>
      <c r="G271" s="1">
        <v>1</v>
      </c>
      <c r="H271" s="1">
        <v>460</v>
      </c>
    </row>
    <row r="272" spans="1:8">
      <c r="A272" s="28"/>
      <c r="B272" s="29"/>
      <c r="C272" s="30"/>
      <c r="D272" s="29"/>
      <c r="E272" s="30"/>
      <c r="F272" s="29"/>
      <c r="G272" s="29">
        <f>SUBTOTAL(109,Tabla1[No Salas])</f>
        <v>1255</v>
      </c>
      <c r="H272" s="31">
        <f>SUBTOTAL(109,Tabla1[Capacidad Esp])</f>
        <v>214858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ECA-6176-4950-A4A1-D816076F6904}">
  <dimension ref="A9:E280"/>
  <sheetViews>
    <sheetView showGridLines="0" zoomScale="70" zoomScaleNormal="70" workbookViewId="0">
      <pane ySplit="9" topLeftCell="A10" activePane="bottomLeft" state="frozen"/>
      <selection pane="bottomLeft" activeCell="A16" sqref="A16:A19"/>
      <selection activeCell="A2" sqref="A2"/>
    </sheetView>
  </sheetViews>
  <sheetFormatPr defaultColWidth="11.5703125" defaultRowHeight="15"/>
  <cols>
    <col min="1" max="1" width="37.28515625" style="6" customWidth="1"/>
    <col min="2" max="2" width="27" style="7" customWidth="1"/>
    <col min="3" max="3" width="22.28515625" style="1" customWidth="1"/>
    <col min="4" max="4" width="32.7109375" style="1" customWidth="1"/>
    <col min="5" max="5" width="17.7109375" style="1" customWidth="1"/>
    <col min="6" max="16384" width="11.5703125" style="1"/>
  </cols>
  <sheetData>
    <row r="9" spans="1:5" ht="30">
      <c r="A9" s="16" t="s">
        <v>5</v>
      </c>
      <c r="B9" s="17" t="s">
        <v>3</v>
      </c>
      <c r="C9" s="17" t="s">
        <v>6</v>
      </c>
      <c r="D9" s="17" t="s">
        <v>793</v>
      </c>
      <c r="E9" s="18" t="s">
        <v>794</v>
      </c>
    </row>
    <row r="10" spans="1:5" ht="30">
      <c r="A10" s="2" t="s">
        <v>273</v>
      </c>
      <c r="B10" s="3" t="s">
        <v>272</v>
      </c>
      <c r="C10" s="3" t="s">
        <v>274</v>
      </c>
      <c r="D10" s="33">
        <v>2</v>
      </c>
      <c r="E10" s="34">
        <v>246</v>
      </c>
    </row>
    <row r="11" spans="1:5" ht="30">
      <c r="A11" s="2" t="s">
        <v>391</v>
      </c>
      <c r="B11" s="3" t="s">
        <v>390</v>
      </c>
      <c r="C11" s="3" t="s">
        <v>392</v>
      </c>
      <c r="D11" s="33">
        <v>1</v>
      </c>
      <c r="E11" s="34">
        <v>120</v>
      </c>
    </row>
    <row r="12" spans="1:5">
      <c r="A12" s="2" t="s">
        <v>439</v>
      </c>
      <c r="B12" s="3" t="s">
        <v>438</v>
      </c>
      <c r="C12" s="3" t="s">
        <v>440</v>
      </c>
      <c r="D12" s="33">
        <v>2</v>
      </c>
      <c r="E12" s="34">
        <v>222</v>
      </c>
    </row>
    <row r="13" spans="1:5" ht="30">
      <c r="A13" s="2" t="s">
        <v>460</v>
      </c>
      <c r="B13" s="3" t="s">
        <v>459</v>
      </c>
      <c r="C13" s="3" t="s">
        <v>461</v>
      </c>
      <c r="D13" s="33">
        <v>1</v>
      </c>
      <c r="E13" s="34">
        <v>94</v>
      </c>
    </row>
    <row r="14" spans="1:5" ht="30">
      <c r="A14" s="39" t="s">
        <v>766</v>
      </c>
      <c r="B14" s="3" t="s">
        <v>765</v>
      </c>
      <c r="C14" s="3" t="s">
        <v>767</v>
      </c>
      <c r="D14" s="33">
        <v>5</v>
      </c>
      <c r="E14" s="34">
        <v>987</v>
      </c>
    </row>
    <row r="15" spans="1:5" ht="30">
      <c r="A15" s="40"/>
      <c r="B15" s="3" t="s">
        <v>774</v>
      </c>
      <c r="C15" s="3" t="s">
        <v>775</v>
      </c>
      <c r="D15" s="33">
        <v>3</v>
      </c>
      <c r="E15" s="34">
        <v>505</v>
      </c>
    </row>
    <row r="16" spans="1:5" ht="30">
      <c r="A16" s="39" t="s">
        <v>193</v>
      </c>
      <c r="B16" s="3" t="s">
        <v>200</v>
      </c>
      <c r="C16" s="3" t="s">
        <v>201</v>
      </c>
      <c r="D16" s="33">
        <v>4</v>
      </c>
      <c r="E16" s="34">
        <v>584</v>
      </c>
    </row>
    <row r="17" spans="1:5" ht="30">
      <c r="A17" s="40"/>
      <c r="B17" s="3" t="s">
        <v>204</v>
      </c>
      <c r="C17" s="3" t="s">
        <v>205</v>
      </c>
      <c r="D17" s="33">
        <v>6</v>
      </c>
      <c r="E17" s="34">
        <v>1230</v>
      </c>
    </row>
    <row r="18" spans="1:5" ht="30">
      <c r="A18" s="40"/>
      <c r="B18" s="3" t="s">
        <v>191</v>
      </c>
      <c r="C18" s="3" t="s">
        <v>194</v>
      </c>
      <c r="D18" s="33">
        <v>4</v>
      </c>
      <c r="E18" s="34">
        <v>848</v>
      </c>
    </row>
    <row r="19" spans="1:5">
      <c r="A19" s="40"/>
      <c r="B19" s="3" t="s">
        <v>202</v>
      </c>
      <c r="C19" s="3" t="s">
        <v>203</v>
      </c>
      <c r="D19" s="33">
        <v>6</v>
      </c>
      <c r="E19" s="34">
        <v>899</v>
      </c>
    </row>
    <row r="20" spans="1:5" ht="30">
      <c r="A20" s="39" t="s">
        <v>151</v>
      </c>
      <c r="B20" s="3" t="s">
        <v>150</v>
      </c>
      <c r="C20" s="3" t="s">
        <v>152</v>
      </c>
      <c r="D20" s="33">
        <v>4</v>
      </c>
      <c r="E20" s="34">
        <v>576</v>
      </c>
    </row>
    <row r="21" spans="1:5" ht="30">
      <c r="A21" s="40"/>
      <c r="B21" s="3" t="s">
        <v>165</v>
      </c>
      <c r="C21" s="3" t="s">
        <v>166</v>
      </c>
      <c r="D21" s="33">
        <v>6</v>
      </c>
      <c r="E21" s="34">
        <v>712</v>
      </c>
    </row>
    <row r="22" spans="1:5" ht="30">
      <c r="A22" s="39" t="s">
        <v>666</v>
      </c>
      <c r="B22" s="3" t="s">
        <v>689</v>
      </c>
      <c r="C22" s="3" t="s">
        <v>690</v>
      </c>
      <c r="D22" s="33">
        <v>5</v>
      </c>
      <c r="E22" s="34">
        <v>410</v>
      </c>
    </row>
    <row r="23" spans="1:5">
      <c r="A23" s="40"/>
      <c r="B23" s="3" t="s">
        <v>693</v>
      </c>
      <c r="C23" s="3" t="s">
        <v>694</v>
      </c>
      <c r="D23" s="33">
        <v>7</v>
      </c>
      <c r="E23" s="34">
        <v>1208</v>
      </c>
    </row>
    <row r="24" spans="1:5" ht="30">
      <c r="A24" s="40"/>
      <c r="B24" s="3" t="s">
        <v>678</v>
      </c>
      <c r="C24" s="3" t="s">
        <v>679</v>
      </c>
      <c r="D24" s="33">
        <v>8</v>
      </c>
      <c r="E24" s="34">
        <v>1387</v>
      </c>
    </row>
    <row r="25" spans="1:5">
      <c r="A25" s="40"/>
      <c r="B25" s="3" t="s">
        <v>664</v>
      </c>
      <c r="C25" s="3" t="s">
        <v>667</v>
      </c>
      <c r="D25" s="33">
        <v>8</v>
      </c>
      <c r="E25" s="34">
        <v>1614</v>
      </c>
    </row>
    <row r="26" spans="1:5">
      <c r="A26" s="40"/>
      <c r="B26" s="3" t="s">
        <v>668</v>
      </c>
      <c r="C26" s="3" t="s">
        <v>669</v>
      </c>
      <c r="D26" s="33">
        <v>5</v>
      </c>
      <c r="E26" s="34">
        <v>836</v>
      </c>
    </row>
    <row r="27" spans="1:5">
      <c r="A27" s="40"/>
      <c r="B27" s="3" t="s">
        <v>672</v>
      </c>
      <c r="C27" s="3" t="s">
        <v>673</v>
      </c>
      <c r="D27" s="33">
        <v>1</v>
      </c>
      <c r="E27" s="34">
        <v>70</v>
      </c>
    </row>
    <row r="28" spans="1:5">
      <c r="A28" s="40"/>
      <c r="B28" s="3" t="s">
        <v>680</v>
      </c>
      <c r="C28" s="3" t="s">
        <v>681</v>
      </c>
      <c r="D28" s="33">
        <v>2</v>
      </c>
      <c r="E28" s="34">
        <v>303</v>
      </c>
    </row>
    <row r="29" spans="1:5">
      <c r="A29" s="40"/>
      <c r="B29" s="3" t="s">
        <v>682</v>
      </c>
      <c r="C29" s="3" t="s">
        <v>683</v>
      </c>
      <c r="D29" s="33">
        <v>7</v>
      </c>
      <c r="E29" s="34">
        <v>1212</v>
      </c>
    </row>
    <row r="30" spans="1:5">
      <c r="A30" s="40"/>
      <c r="B30" s="3" t="s">
        <v>684</v>
      </c>
      <c r="C30" s="3" t="s">
        <v>685</v>
      </c>
      <c r="D30" s="33">
        <v>7</v>
      </c>
      <c r="E30" s="34">
        <v>1684</v>
      </c>
    </row>
    <row r="31" spans="1:5">
      <c r="A31" s="39" t="s">
        <v>751</v>
      </c>
      <c r="B31" s="3" t="s">
        <v>750</v>
      </c>
      <c r="C31" s="3" t="s">
        <v>752</v>
      </c>
      <c r="D31" s="33">
        <v>7</v>
      </c>
      <c r="E31" s="34">
        <v>1164</v>
      </c>
    </row>
    <row r="32" spans="1:5">
      <c r="A32" s="40"/>
      <c r="B32" s="3" t="s">
        <v>776</v>
      </c>
      <c r="C32" s="3" t="s">
        <v>777</v>
      </c>
      <c r="D32" s="33">
        <v>4</v>
      </c>
      <c r="E32" s="34">
        <v>594</v>
      </c>
    </row>
    <row r="33" spans="1:5">
      <c r="A33" s="39" t="s">
        <v>544</v>
      </c>
      <c r="B33" s="3" t="s">
        <v>586</v>
      </c>
      <c r="C33" s="3" t="s">
        <v>587</v>
      </c>
      <c r="D33" s="33">
        <v>1</v>
      </c>
      <c r="E33" s="34">
        <v>105</v>
      </c>
    </row>
    <row r="34" spans="1:5" ht="30">
      <c r="A34" s="40"/>
      <c r="B34" s="3" t="s">
        <v>543</v>
      </c>
      <c r="C34" s="3" t="s">
        <v>545</v>
      </c>
      <c r="D34" s="33">
        <v>2</v>
      </c>
      <c r="E34" s="34">
        <v>110</v>
      </c>
    </row>
    <row r="35" spans="1:5" ht="30">
      <c r="A35" s="40"/>
      <c r="B35" s="3" t="s">
        <v>626</v>
      </c>
      <c r="C35" s="3" t="s">
        <v>627</v>
      </c>
      <c r="D35" s="33">
        <v>6</v>
      </c>
      <c r="E35" s="34">
        <v>390</v>
      </c>
    </row>
    <row r="36" spans="1:5" ht="30">
      <c r="A36" s="40"/>
      <c r="B36" s="3" t="s">
        <v>628</v>
      </c>
      <c r="C36" s="3" t="s">
        <v>629</v>
      </c>
      <c r="D36" s="33">
        <v>6</v>
      </c>
      <c r="E36" s="34">
        <v>1581</v>
      </c>
    </row>
    <row r="37" spans="1:5" ht="30">
      <c r="A37" s="40"/>
      <c r="B37" s="3" t="s">
        <v>630</v>
      </c>
      <c r="C37" s="3" t="s">
        <v>631</v>
      </c>
      <c r="D37" s="33">
        <v>5</v>
      </c>
      <c r="E37" s="34">
        <v>1436</v>
      </c>
    </row>
    <row r="38" spans="1:5" ht="30">
      <c r="A38" s="40"/>
      <c r="B38" s="3" t="s">
        <v>632</v>
      </c>
      <c r="C38" s="3" t="s">
        <v>633</v>
      </c>
      <c r="D38" s="33">
        <v>9</v>
      </c>
      <c r="E38" s="34">
        <v>2094</v>
      </c>
    </row>
    <row r="39" spans="1:5" ht="30">
      <c r="A39" s="40"/>
      <c r="B39" s="3" t="s">
        <v>634</v>
      </c>
      <c r="C39" s="3" t="s">
        <v>635</v>
      </c>
      <c r="D39" s="33">
        <v>4</v>
      </c>
      <c r="E39" s="34">
        <v>702</v>
      </c>
    </row>
    <row r="40" spans="1:5" ht="30">
      <c r="A40" s="40"/>
      <c r="B40" s="3" t="s">
        <v>636</v>
      </c>
      <c r="C40" s="3" t="s">
        <v>637</v>
      </c>
      <c r="D40" s="33">
        <v>8</v>
      </c>
      <c r="E40" s="34">
        <v>939</v>
      </c>
    </row>
    <row r="41" spans="1:5" ht="30">
      <c r="A41" s="40"/>
      <c r="B41" s="3" t="s">
        <v>638</v>
      </c>
      <c r="C41" s="3" t="s">
        <v>639</v>
      </c>
      <c r="D41" s="33">
        <v>9</v>
      </c>
      <c r="E41" s="34">
        <v>1191</v>
      </c>
    </row>
    <row r="42" spans="1:5" ht="30">
      <c r="A42" s="40"/>
      <c r="B42" s="3" t="s">
        <v>640</v>
      </c>
      <c r="C42" s="3" t="s">
        <v>641</v>
      </c>
      <c r="D42" s="33">
        <v>6</v>
      </c>
      <c r="E42" s="34">
        <v>1556</v>
      </c>
    </row>
    <row r="43" spans="1:5" ht="30">
      <c r="A43" s="40"/>
      <c r="B43" s="3" t="s">
        <v>603</v>
      </c>
      <c r="C43" s="3" t="s">
        <v>604</v>
      </c>
      <c r="D43" s="33">
        <v>10</v>
      </c>
      <c r="E43" s="34">
        <v>1499</v>
      </c>
    </row>
    <row r="44" spans="1:5">
      <c r="A44" s="40"/>
      <c r="B44" s="3" t="s">
        <v>605</v>
      </c>
      <c r="C44" s="3" t="s">
        <v>606</v>
      </c>
      <c r="D44" s="33">
        <v>5</v>
      </c>
      <c r="E44" s="34">
        <v>554</v>
      </c>
    </row>
    <row r="45" spans="1:5">
      <c r="A45" s="40"/>
      <c r="B45" s="3" t="s">
        <v>607</v>
      </c>
      <c r="C45" s="3" t="s">
        <v>608</v>
      </c>
      <c r="D45" s="33">
        <v>2</v>
      </c>
      <c r="E45" s="34">
        <v>797</v>
      </c>
    </row>
    <row r="46" spans="1:5">
      <c r="A46" s="40"/>
      <c r="B46" s="3" t="s">
        <v>609</v>
      </c>
      <c r="C46" s="3" t="s">
        <v>610</v>
      </c>
      <c r="D46" s="33">
        <v>5</v>
      </c>
      <c r="E46" s="34">
        <v>616</v>
      </c>
    </row>
    <row r="47" spans="1:5" ht="30">
      <c r="A47" s="40"/>
      <c r="B47" s="3" t="s">
        <v>611</v>
      </c>
      <c r="C47" s="3" t="s">
        <v>612</v>
      </c>
      <c r="D47" s="33">
        <v>8</v>
      </c>
      <c r="E47" s="34">
        <v>650</v>
      </c>
    </row>
    <row r="48" spans="1:5" ht="45">
      <c r="A48" s="40"/>
      <c r="B48" s="3" t="s">
        <v>654</v>
      </c>
      <c r="C48" s="3" t="s">
        <v>655</v>
      </c>
      <c r="D48" s="33">
        <v>9</v>
      </c>
      <c r="E48" s="34">
        <v>1184</v>
      </c>
    </row>
    <row r="49" spans="1:5" ht="30">
      <c r="A49" s="40"/>
      <c r="B49" s="3" t="s">
        <v>656</v>
      </c>
      <c r="C49" s="3" t="s">
        <v>657</v>
      </c>
      <c r="D49" s="33">
        <v>11</v>
      </c>
      <c r="E49" s="34">
        <v>2068</v>
      </c>
    </row>
    <row r="50" spans="1:5">
      <c r="A50" s="40"/>
      <c r="B50" s="3" t="s">
        <v>613</v>
      </c>
      <c r="C50" s="3" t="s">
        <v>614</v>
      </c>
      <c r="D50" s="33">
        <v>8</v>
      </c>
      <c r="E50" s="34">
        <v>1076</v>
      </c>
    </row>
    <row r="51" spans="1:5">
      <c r="A51" s="40"/>
      <c r="B51" s="3" t="s">
        <v>615</v>
      </c>
      <c r="C51" s="3" t="s">
        <v>616</v>
      </c>
      <c r="D51" s="33">
        <v>3</v>
      </c>
      <c r="E51" s="34">
        <v>505</v>
      </c>
    </row>
    <row r="52" spans="1:5" ht="30">
      <c r="A52" s="40"/>
      <c r="B52" s="3" t="s">
        <v>617</v>
      </c>
      <c r="C52" s="3" t="s">
        <v>618</v>
      </c>
      <c r="D52" s="33">
        <v>2</v>
      </c>
      <c r="E52" s="34">
        <v>760</v>
      </c>
    </row>
    <row r="53" spans="1:5" ht="30">
      <c r="A53" s="40"/>
      <c r="B53" s="3" t="s">
        <v>619</v>
      </c>
      <c r="C53" s="3" t="s">
        <v>620</v>
      </c>
      <c r="D53" s="33">
        <v>6</v>
      </c>
      <c r="E53" s="34">
        <v>767</v>
      </c>
    </row>
    <row r="54" spans="1:5">
      <c r="A54" s="40"/>
      <c r="B54" s="3" t="s">
        <v>589</v>
      </c>
      <c r="C54" s="3" t="s">
        <v>590</v>
      </c>
      <c r="D54" s="33">
        <v>3</v>
      </c>
      <c r="E54" s="34">
        <v>421</v>
      </c>
    </row>
    <row r="55" spans="1:5">
      <c r="A55" s="40"/>
      <c r="B55" s="3" t="s">
        <v>646</v>
      </c>
      <c r="C55" s="3" t="s">
        <v>647</v>
      </c>
      <c r="D55" s="33">
        <v>8</v>
      </c>
      <c r="E55" s="34">
        <v>1213</v>
      </c>
    </row>
    <row r="56" spans="1:5">
      <c r="A56" s="40"/>
      <c r="B56" s="3" t="s">
        <v>648</v>
      </c>
      <c r="C56" s="3" t="s">
        <v>649</v>
      </c>
      <c r="D56" s="33">
        <v>9</v>
      </c>
      <c r="E56" s="34">
        <v>1353</v>
      </c>
    </row>
    <row r="57" spans="1:5">
      <c r="A57" s="40"/>
      <c r="B57" s="3" t="s">
        <v>650</v>
      </c>
      <c r="C57" s="3" t="s">
        <v>651</v>
      </c>
      <c r="D57" s="33">
        <v>9</v>
      </c>
      <c r="E57" s="34">
        <v>1551</v>
      </c>
    </row>
    <row r="58" spans="1:5">
      <c r="A58" s="40"/>
      <c r="B58" s="3" t="s">
        <v>652</v>
      </c>
      <c r="C58" s="3" t="s">
        <v>653</v>
      </c>
      <c r="D58" s="33">
        <v>7</v>
      </c>
      <c r="E58" s="34">
        <v>559</v>
      </c>
    </row>
    <row r="59" spans="1:5">
      <c r="A59" s="40"/>
      <c r="B59" s="3" t="s">
        <v>644</v>
      </c>
      <c r="C59" s="3" t="s">
        <v>645</v>
      </c>
      <c r="D59" s="33">
        <v>9</v>
      </c>
      <c r="E59" s="34">
        <v>1337</v>
      </c>
    </row>
    <row r="60" spans="1:5">
      <c r="A60" s="40"/>
      <c r="B60" s="3" t="s">
        <v>546</v>
      </c>
      <c r="C60" s="3" t="s">
        <v>547</v>
      </c>
      <c r="D60" s="33">
        <v>6</v>
      </c>
      <c r="E60" s="34">
        <v>862</v>
      </c>
    </row>
    <row r="61" spans="1:5">
      <c r="A61" s="40"/>
      <c r="B61" s="3" t="s">
        <v>548</v>
      </c>
      <c r="C61" s="3" t="s">
        <v>549</v>
      </c>
      <c r="D61" s="33">
        <v>4</v>
      </c>
      <c r="E61" s="34">
        <v>503</v>
      </c>
    </row>
    <row r="62" spans="1:5" ht="30">
      <c r="A62" s="40"/>
      <c r="B62" s="3" t="s">
        <v>658</v>
      </c>
      <c r="C62" s="3" t="s">
        <v>659</v>
      </c>
      <c r="D62" s="33">
        <v>5</v>
      </c>
      <c r="E62" s="34">
        <v>735</v>
      </c>
    </row>
    <row r="63" spans="1:5">
      <c r="A63" s="40"/>
      <c r="B63" s="3" t="s">
        <v>662</v>
      </c>
      <c r="C63" s="3" t="s">
        <v>663</v>
      </c>
      <c r="D63" s="33">
        <v>1</v>
      </c>
      <c r="E63" s="34">
        <v>25</v>
      </c>
    </row>
    <row r="64" spans="1:5">
      <c r="A64" s="40"/>
      <c r="B64" s="3" t="s">
        <v>601</v>
      </c>
      <c r="C64" s="3" t="s">
        <v>602</v>
      </c>
      <c r="D64" s="33">
        <v>1</v>
      </c>
      <c r="E64" s="34">
        <v>450</v>
      </c>
    </row>
    <row r="65" spans="1:5">
      <c r="A65" s="40"/>
      <c r="B65" s="3" t="s">
        <v>552</v>
      </c>
      <c r="C65" s="3" t="s">
        <v>553</v>
      </c>
      <c r="D65" s="33">
        <v>12</v>
      </c>
      <c r="E65" s="34">
        <v>3450</v>
      </c>
    </row>
    <row r="66" spans="1:5">
      <c r="A66" s="40"/>
      <c r="B66" s="3" t="s">
        <v>624</v>
      </c>
      <c r="C66" s="3" t="s">
        <v>625</v>
      </c>
      <c r="D66" s="33">
        <v>4</v>
      </c>
      <c r="E66" s="34">
        <v>320</v>
      </c>
    </row>
    <row r="67" spans="1:5">
      <c r="A67" s="40"/>
      <c r="B67" s="3" t="s">
        <v>574</v>
      </c>
      <c r="C67" s="3" t="s">
        <v>575</v>
      </c>
      <c r="D67" s="33">
        <v>3</v>
      </c>
      <c r="E67" s="34">
        <v>544</v>
      </c>
    </row>
    <row r="68" spans="1:5" ht="30">
      <c r="A68" s="40"/>
      <c r="B68" s="3" t="s">
        <v>558</v>
      </c>
      <c r="C68" s="3" t="s">
        <v>559</v>
      </c>
      <c r="D68" s="33">
        <v>14</v>
      </c>
      <c r="E68" s="34">
        <v>2774</v>
      </c>
    </row>
    <row r="69" spans="1:5">
      <c r="A69" s="40"/>
      <c r="B69" s="3" t="s">
        <v>576</v>
      </c>
      <c r="C69" s="3" t="s">
        <v>577</v>
      </c>
      <c r="D69" s="33">
        <v>4</v>
      </c>
      <c r="E69" s="34">
        <v>422</v>
      </c>
    </row>
    <row r="70" spans="1:5">
      <c r="A70" s="40"/>
      <c r="B70" s="3" t="s">
        <v>570</v>
      </c>
      <c r="C70" s="3" t="s">
        <v>571</v>
      </c>
      <c r="D70" s="33">
        <v>8</v>
      </c>
      <c r="E70" s="34">
        <v>1723</v>
      </c>
    </row>
    <row r="71" spans="1:5" ht="30">
      <c r="A71" s="40"/>
      <c r="B71" s="3" t="s">
        <v>578</v>
      </c>
      <c r="C71" s="3" t="s">
        <v>579</v>
      </c>
      <c r="D71" s="33">
        <v>8</v>
      </c>
      <c r="E71" s="34">
        <v>1398</v>
      </c>
    </row>
    <row r="72" spans="1:5">
      <c r="A72" s="40"/>
      <c r="B72" s="3" t="s">
        <v>564</v>
      </c>
      <c r="C72" s="3" t="s">
        <v>565</v>
      </c>
      <c r="D72" s="33">
        <v>8</v>
      </c>
      <c r="E72" s="34">
        <v>1682</v>
      </c>
    </row>
    <row r="73" spans="1:5">
      <c r="A73" s="40"/>
      <c r="B73" s="3" t="s">
        <v>556</v>
      </c>
      <c r="C73" s="3" t="s">
        <v>557</v>
      </c>
      <c r="D73" s="33">
        <v>12</v>
      </c>
      <c r="E73" s="34">
        <v>2842</v>
      </c>
    </row>
    <row r="74" spans="1:5">
      <c r="A74" s="40"/>
      <c r="B74" s="3" t="s">
        <v>562</v>
      </c>
      <c r="C74" s="3" t="s">
        <v>563</v>
      </c>
      <c r="D74" s="33">
        <v>10</v>
      </c>
      <c r="E74" s="34">
        <v>1868</v>
      </c>
    </row>
    <row r="75" spans="1:5">
      <c r="A75" s="40"/>
      <c r="B75" s="3" t="s">
        <v>560</v>
      </c>
      <c r="C75" s="3" t="s">
        <v>561</v>
      </c>
      <c r="D75" s="33">
        <v>9</v>
      </c>
      <c r="E75" s="34">
        <v>1730</v>
      </c>
    </row>
    <row r="76" spans="1:5">
      <c r="A76" s="40"/>
      <c r="B76" s="3" t="s">
        <v>621</v>
      </c>
      <c r="C76" s="3" t="s">
        <v>622</v>
      </c>
      <c r="D76" s="33">
        <v>1</v>
      </c>
      <c r="E76" s="34">
        <v>606</v>
      </c>
    </row>
    <row r="77" spans="1:5" ht="75">
      <c r="A77" s="40"/>
      <c r="B77" s="3" t="s">
        <v>591</v>
      </c>
      <c r="C77" s="3" t="s">
        <v>592</v>
      </c>
      <c r="D77" s="33">
        <v>1</v>
      </c>
      <c r="E77" s="34">
        <v>95</v>
      </c>
    </row>
    <row r="78" spans="1:5" ht="45">
      <c r="A78" s="40"/>
      <c r="B78" s="3" t="s">
        <v>593</v>
      </c>
      <c r="C78" s="3" t="s">
        <v>594</v>
      </c>
      <c r="D78" s="33">
        <v>1</v>
      </c>
      <c r="E78" s="34">
        <v>100</v>
      </c>
    </row>
    <row r="79" spans="1:5">
      <c r="A79" s="40"/>
      <c r="B79" s="3" t="s">
        <v>550</v>
      </c>
      <c r="C79" s="3" t="s">
        <v>551</v>
      </c>
      <c r="D79" s="33">
        <v>4</v>
      </c>
      <c r="E79" s="34">
        <v>678</v>
      </c>
    </row>
    <row r="80" spans="1:5">
      <c r="A80" s="40"/>
      <c r="B80" s="3" t="s">
        <v>554</v>
      </c>
      <c r="C80" s="3" t="s">
        <v>555</v>
      </c>
      <c r="D80" s="33">
        <v>8</v>
      </c>
      <c r="E80" s="34">
        <v>1516</v>
      </c>
    </row>
    <row r="81" spans="1:5">
      <c r="A81" s="40"/>
      <c r="B81" s="3" t="s">
        <v>566</v>
      </c>
      <c r="C81" s="3" t="s">
        <v>567</v>
      </c>
      <c r="D81" s="33">
        <v>7</v>
      </c>
      <c r="E81" s="34">
        <v>1541</v>
      </c>
    </row>
    <row r="82" spans="1:5">
      <c r="A82" s="40"/>
      <c r="B82" s="3" t="s">
        <v>568</v>
      </c>
      <c r="C82" s="3" t="s">
        <v>569</v>
      </c>
      <c r="D82" s="33">
        <v>6</v>
      </c>
      <c r="E82" s="34">
        <v>1244</v>
      </c>
    </row>
    <row r="83" spans="1:5">
      <c r="A83" s="40"/>
      <c r="B83" s="3" t="s">
        <v>572</v>
      </c>
      <c r="C83" s="3" t="s">
        <v>573</v>
      </c>
      <c r="D83" s="33">
        <v>6</v>
      </c>
      <c r="E83" s="34">
        <v>1290</v>
      </c>
    </row>
    <row r="84" spans="1:5" ht="30">
      <c r="A84" s="40"/>
      <c r="B84" s="3" t="s">
        <v>580</v>
      </c>
      <c r="C84" s="3" t="s">
        <v>581</v>
      </c>
      <c r="D84" s="33">
        <v>7</v>
      </c>
      <c r="E84" s="34">
        <v>670</v>
      </c>
    </row>
    <row r="85" spans="1:5" ht="45">
      <c r="A85" s="40"/>
      <c r="B85" s="3" t="s">
        <v>584</v>
      </c>
      <c r="C85" s="3" t="s">
        <v>585</v>
      </c>
      <c r="D85" s="33">
        <v>2</v>
      </c>
      <c r="E85" s="34">
        <v>483</v>
      </c>
    </row>
    <row r="86" spans="1:5" ht="30">
      <c r="A86" s="40"/>
      <c r="B86" s="3" t="s">
        <v>595</v>
      </c>
      <c r="C86" s="3" t="s">
        <v>596</v>
      </c>
      <c r="D86" s="33">
        <v>6</v>
      </c>
      <c r="E86" s="34">
        <v>1282</v>
      </c>
    </row>
    <row r="87" spans="1:5">
      <c r="A87" s="40"/>
      <c r="B87" s="3" t="s">
        <v>597</v>
      </c>
      <c r="C87" s="3" t="s">
        <v>598</v>
      </c>
      <c r="D87" s="33">
        <v>6</v>
      </c>
      <c r="E87" s="34">
        <v>800</v>
      </c>
    </row>
    <row r="88" spans="1:5" ht="30">
      <c r="A88" s="39" t="s">
        <v>139</v>
      </c>
      <c r="B88" s="3" t="s">
        <v>158</v>
      </c>
      <c r="C88" s="3" t="s">
        <v>159</v>
      </c>
      <c r="D88" s="33">
        <v>4</v>
      </c>
      <c r="E88" s="34">
        <v>783</v>
      </c>
    </row>
    <row r="89" spans="1:5">
      <c r="A89" s="40"/>
      <c r="B89" s="3" t="s">
        <v>138</v>
      </c>
      <c r="C89" s="3" t="s">
        <v>140</v>
      </c>
      <c r="D89" s="33">
        <v>4</v>
      </c>
      <c r="E89" s="34">
        <v>479</v>
      </c>
    </row>
    <row r="90" spans="1:5" ht="30">
      <c r="A90" s="40"/>
      <c r="B90" s="3" t="s">
        <v>141</v>
      </c>
      <c r="C90" s="3" t="s">
        <v>142</v>
      </c>
      <c r="D90" s="33">
        <v>12</v>
      </c>
      <c r="E90" s="34">
        <v>2176</v>
      </c>
    </row>
    <row r="91" spans="1:5">
      <c r="A91" s="40"/>
      <c r="B91" s="3" t="s">
        <v>146</v>
      </c>
      <c r="C91" s="3" t="s">
        <v>147</v>
      </c>
      <c r="D91" s="33">
        <v>3</v>
      </c>
      <c r="E91" s="34">
        <v>680</v>
      </c>
    </row>
    <row r="92" spans="1:5">
      <c r="A92" s="2" t="s">
        <v>52</v>
      </c>
      <c r="B92" s="3" t="s">
        <v>51</v>
      </c>
      <c r="C92" s="3" t="s">
        <v>53</v>
      </c>
      <c r="D92" s="33">
        <v>4</v>
      </c>
      <c r="E92" s="34">
        <v>576</v>
      </c>
    </row>
    <row r="93" spans="1:5" ht="30">
      <c r="A93" s="39" t="s">
        <v>14</v>
      </c>
      <c r="B93" s="3" t="s">
        <v>58</v>
      </c>
      <c r="C93" s="3" t="s">
        <v>59</v>
      </c>
      <c r="D93" s="33">
        <v>8</v>
      </c>
      <c r="E93" s="34">
        <v>1349</v>
      </c>
    </row>
    <row r="94" spans="1:5" ht="30">
      <c r="A94" s="40"/>
      <c r="B94" s="3" t="s">
        <v>60</v>
      </c>
      <c r="C94" s="3" t="s">
        <v>61</v>
      </c>
      <c r="D94" s="33">
        <v>6</v>
      </c>
      <c r="E94" s="34">
        <v>890</v>
      </c>
    </row>
    <row r="95" spans="1:5" ht="30">
      <c r="A95" s="40"/>
      <c r="B95" s="3" t="s">
        <v>25</v>
      </c>
      <c r="C95" s="3" t="s">
        <v>26</v>
      </c>
      <c r="D95" s="33">
        <v>1</v>
      </c>
      <c r="E95" s="34">
        <v>250</v>
      </c>
    </row>
    <row r="96" spans="1:5">
      <c r="A96" s="40"/>
      <c r="B96" s="3" t="s">
        <v>72</v>
      </c>
      <c r="C96" s="3" t="s">
        <v>73</v>
      </c>
      <c r="D96" s="33">
        <v>14</v>
      </c>
      <c r="E96" s="34">
        <v>2076</v>
      </c>
    </row>
    <row r="97" spans="1:5" ht="30">
      <c r="A97" s="40"/>
      <c r="B97" s="3" t="s">
        <v>68</v>
      </c>
      <c r="C97" s="3" t="s">
        <v>69</v>
      </c>
      <c r="D97" s="33">
        <v>4</v>
      </c>
      <c r="E97" s="34">
        <v>519</v>
      </c>
    </row>
    <row r="98" spans="1:5" ht="30">
      <c r="A98" s="40"/>
      <c r="B98" s="3" t="s">
        <v>75</v>
      </c>
      <c r="C98" s="3" t="s">
        <v>76</v>
      </c>
      <c r="D98" s="33">
        <v>7</v>
      </c>
      <c r="E98" s="34">
        <v>1230</v>
      </c>
    </row>
    <row r="99" spans="1:5">
      <c r="A99" s="40"/>
      <c r="B99" s="3" t="s">
        <v>12</v>
      </c>
      <c r="C99" s="3" t="s">
        <v>15</v>
      </c>
      <c r="D99" s="33">
        <v>10</v>
      </c>
      <c r="E99" s="34">
        <v>1726</v>
      </c>
    </row>
    <row r="100" spans="1:5">
      <c r="A100" s="40"/>
      <c r="B100" s="3" t="s">
        <v>22</v>
      </c>
      <c r="C100" s="3" t="s">
        <v>23</v>
      </c>
      <c r="D100" s="33">
        <v>5</v>
      </c>
      <c r="E100" s="34">
        <v>1090</v>
      </c>
    </row>
    <row r="101" spans="1:5">
      <c r="A101" s="40"/>
      <c r="B101" s="3" t="s">
        <v>16</v>
      </c>
      <c r="C101" s="3" t="s">
        <v>17</v>
      </c>
      <c r="D101" s="33">
        <v>12</v>
      </c>
      <c r="E101" s="34">
        <v>1818</v>
      </c>
    </row>
    <row r="102" spans="1:5" ht="30">
      <c r="A102" s="40"/>
      <c r="B102" s="3" t="s">
        <v>29</v>
      </c>
      <c r="C102" s="3" t="s">
        <v>30</v>
      </c>
      <c r="D102" s="33">
        <v>1</v>
      </c>
      <c r="E102" s="34">
        <v>108</v>
      </c>
    </row>
    <row r="103" spans="1:5">
      <c r="A103" s="40"/>
      <c r="B103" s="3" t="s">
        <v>18</v>
      </c>
      <c r="C103" s="3" t="s">
        <v>19</v>
      </c>
      <c r="D103" s="33">
        <v>6</v>
      </c>
      <c r="E103" s="34">
        <v>1153</v>
      </c>
    </row>
    <row r="104" spans="1:5">
      <c r="A104" s="40"/>
      <c r="B104" s="3" t="s">
        <v>20</v>
      </c>
      <c r="C104" s="3" t="s">
        <v>21</v>
      </c>
      <c r="D104" s="33">
        <v>8</v>
      </c>
      <c r="E104" s="34">
        <v>1804</v>
      </c>
    </row>
    <row r="105" spans="1:5" ht="30">
      <c r="A105" s="40"/>
      <c r="B105" s="3" t="s">
        <v>42</v>
      </c>
      <c r="C105" s="3" t="s">
        <v>43</v>
      </c>
      <c r="D105" s="33">
        <v>8</v>
      </c>
      <c r="E105" s="34">
        <v>870</v>
      </c>
    </row>
    <row r="106" spans="1:5">
      <c r="A106" s="40"/>
      <c r="B106" s="3" t="s">
        <v>44</v>
      </c>
      <c r="C106" s="3" t="s">
        <v>45</v>
      </c>
      <c r="D106" s="33">
        <v>6</v>
      </c>
      <c r="E106" s="34">
        <v>675</v>
      </c>
    </row>
    <row r="107" spans="1:5">
      <c r="A107" s="40"/>
      <c r="B107" s="3" t="s">
        <v>54</v>
      </c>
      <c r="C107" s="3" t="s">
        <v>55</v>
      </c>
      <c r="D107" s="33">
        <v>7</v>
      </c>
      <c r="E107" s="34">
        <v>1371</v>
      </c>
    </row>
    <row r="108" spans="1:5">
      <c r="A108" s="39" t="s">
        <v>525</v>
      </c>
      <c r="B108" s="3" t="s">
        <v>533</v>
      </c>
      <c r="C108" s="3" t="s">
        <v>534</v>
      </c>
      <c r="D108" s="33">
        <v>6</v>
      </c>
      <c r="E108" s="34">
        <v>808</v>
      </c>
    </row>
    <row r="109" spans="1:5">
      <c r="A109" s="40"/>
      <c r="B109" s="3" t="s">
        <v>523</v>
      </c>
      <c r="C109" s="3" t="s">
        <v>526</v>
      </c>
      <c r="D109" s="33">
        <v>6</v>
      </c>
      <c r="E109" s="34">
        <v>882</v>
      </c>
    </row>
    <row r="110" spans="1:5" ht="30">
      <c r="A110" s="40"/>
      <c r="B110" s="3" t="s">
        <v>527</v>
      </c>
      <c r="C110" s="3" t="s">
        <v>528</v>
      </c>
      <c r="D110" s="33">
        <v>4</v>
      </c>
      <c r="E110" s="34">
        <v>909</v>
      </c>
    </row>
    <row r="111" spans="1:5" ht="30">
      <c r="A111" s="40"/>
      <c r="B111" s="3" t="s">
        <v>529</v>
      </c>
      <c r="C111" s="3" t="s">
        <v>530</v>
      </c>
      <c r="D111" s="33">
        <v>5</v>
      </c>
      <c r="E111" s="34">
        <v>658</v>
      </c>
    </row>
    <row r="112" spans="1:5" ht="45">
      <c r="A112" s="40"/>
      <c r="B112" s="3" t="s">
        <v>531</v>
      </c>
      <c r="C112" s="3" t="s">
        <v>532</v>
      </c>
      <c r="D112" s="33">
        <v>5</v>
      </c>
      <c r="E112" s="34">
        <v>688</v>
      </c>
    </row>
    <row r="113" spans="1:5">
      <c r="A113" s="39" t="s">
        <v>37</v>
      </c>
      <c r="B113" s="3" t="s">
        <v>78</v>
      </c>
      <c r="C113" s="3" t="s">
        <v>79</v>
      </c>
      <c r="D113" s="33">
        <v>4</v>
      </c>
      <c r="E113" s="34">
        <v>576</v>
      </c>
    </row>
    <row r="114" spans="1:5">
      <c r="A114" s="40"/>
      <c r="B114" s="3" t="s">
        <v>36</v>
      </c>
      <c r="C114" s="3" t="s">
        <v>38</v>
      </c>
      <c r="D114" s="33">
        <v>6</v>
      </c>
      <c r="E114" s="34">
        <v>1021</v>
      </c>
    </row>
    <row r="115" spans="1:5">
      <c r="A115" s="2" t="s">
        <v>733</v>
      </c>
      <c r="B115" s="3" t="s">
        <v>732</v>
      </c>
      <c r="C115" s="3" t="s">
        <v>734</v>
      </c>
      <c r="D115" s="33">
        <v>4</v>
      </c>
      <c r="E115" s="34">
        <v>482</v>
      </c>
    </row>
    <row r="116" spans="1:5">
      <c r="A116" s="2" t="s">
        <v>408</v>
      </c>
      <c r="B116" s="3" t="s">
        <v>407</v>
      </c>
      <c r="C116" s="3" t="s">
        <v>409</v>
      </c>
      <c r="D116" s="33">
        <v>1</v>
      </c>
      <c r="E116" s="34">
        <v>110</v>
      </c>
    </row>
    <row r="117" spans="1:5">
      <c r="A117" s="2" t="s">
        <v>114</v>
      </c>
      <c r="B117" s="3" t="s">
        <v>113</v>
      </c>
      <c r="C117" s="3" t="s">
        <v>115</v>
      </c>
      <c r="D117" s="33">
        <v>1</v>
      </c>
      <c r="E117" s="34">
        <v>81</v>
      </c>
    </row>
    <row r="118" spans="1:5">
      <c r="A118" s="39" t="s">
        <v>342</v>
      </c>
      <c r="B118" s="3" t="s">
        <v>371</v>
      </c>
      <c r="C118" s="3" t="s">
        <v>372</v>
      </c>
      <c r="D118" s="33">
        <v>11</v>
      </c>
      <c r="E118" s="34">
        <v>1947</v>
      </c>
    </row>
    <row r="119" spans="1:5" ht="30">
      <c r="A119" s="40"/>
      <c r="B119" s="3" t="s">
        <v>341</v>
      </c>
      <c r="C119" s="3" t="s">
        <v>343</v>
      </c>
      <c r="D119" s="33">
        <v>8</v>
      </c>
      <c r="E119" s="34">
        <v>1186</v>
      </c>
    </row>
    <row r="120" spans="1:5" ht="30">
      <c r="A120" s="39" t="s">
        <v>225</v>
      </c>
      <c r="B120" s="3" t="s">
        <v>229</v>
      </c>
      <c r="C120" s="3" t="s">
        <v>230</v>
      </c>
      <c r="D120" s="33">
        <v>6</v>
      </c>
      <c r="E120" s="34">
        <v>1109</v>
      </c>
    </row>
    <row r="121" spans="1:5" ht="45">
      <c r="A121" s="40"/>
      <c r="B121" s="3" t="s">
        <v>224</v>
      </c>
      <c r="C121" s="3" t="s">
        <v>226</v>
      </c>
      <c r="D121" s="33">
        <v>6</v>
      </c>
      <c r="E121" s="34">
        <v>1238</v>
      </c>
    </row>
    <row r="122" spans="1:5" ht="30">
      <c r="A122" s="40"/>
      <c r="B122" s="3" t="s">
        <v>227</v>
      </c>
      <c r="C122" s="3" t="s">
        <v>228</v>
      </c>
      <c r="D122" s="33">
        <v>5</v>
      </c>
      <c r="E122" s="34">
        <v>631</v>
      </c>
    </row>
    <row r="123" spans="1:5" ht="30">
      <c r="A123" s="2" t="s">
        <v>183</v>
      </c>
      <c r="B123" s="3" t="s">
        <v>182</v>
      </c>
      <c r="C123" s="3" t="s">
        <v>184</v>
      </c>
      <c r="D123" s="33">
        <v>5</v>
      </c>
      <c r="E123" s="34">
        <v>827</v>
      </c>
    </row>
    <row r="124" spans="1:5" ht="30">
      <c r="A124" s="39" t="s">
        <v>508</v>
      </c>
      <c r="B124" s="3" t="s">
        <v>507</v>
      </c>
      <c r="C124" s="3" t="s">
        <v>509</v>
      </c>
      <c r="D124" s="33">
        <v>2</v>
      </c>
      <c r="E124" s="34">
        <v>222</v>
      </c>
    </row>
    <row r="125" spans="1:5">
      <c r="A125" s="40"/>
      <c r="B125" s="3" t="s">
        <v>510</v>
      </c>
      <c r="C125" s="3" t="s">
        <v>511</v>
      </c>
      <c r="D125" s="33">
        <v>3</v>
      </c>
      <c r="E125" s="34">
        <v>351</v>
      </c>
    </row>
    <row r="126" spans="1:5">
      <c r="A126" s="2" t="s">
        <v>282</v>
      </c>
      <c r="B126" s="3" t="s">
        <v>280</v>
      </c>
      <c r="C126" s="3" t="s">
        <v>283</v>
      </c>
      <c r="D126" s="33">
        <v>2</v>
      </c>
      <c r="E126" s="34">
        <v>240</v>
      </c>
    </row>
    <row r="127" spans="1:5" ht="30">
      <c r="A127" s="39" t="s">
        <v>702</v>
      </c>
      <c r="B127" s="3" t="s">
        <v>768</v>
      </c>
      <c r="C127" s="3" t="s">
        <v>769</v>
      </c>
      <c r="D127" s="33">
        <v>6</v>
      </c>
      <c r="E127" s="34">
        <v>1132</v>
      </c>
    </row>
    <row r="128" spans="1:5" ht="30">
      <c r="A128" s="40"/>
      <c r="B128" s="3" t="s">
        <v>701</v>
      </c>
      <c r="C128" s="3" t="s">
        <v>703</v>
      </c>
      <c r="D128" s="33">
        <v>14</v>
      </c>
      <c r="E128" s="34">
        <v>2191</v>
      </c>
    </row>
    <row r="129" spans="1:5" ht="45">
      <c r="A129" s="40"/>
      <c r="B129" s="3" t="s">
        <v>784</v>
      </c>
      <c r="C129" s="3" t="s">
        <v>785</v>
      </c>
      <c r="D129" s="33">
        <v>1</v>
      </c>
      <c r="E129" s="34">
        <v>208</v>
      </c>
    </row>
    <row r="130" spans="1:5">
      <c r="A130" s="2" t="s">
        <v>103</v>
      </c>
      <c r="B130" s="3" t="s">
        <v>102</v>
      </c>
      <c r="C130" s="3" t="s">
        <v>104</v>
      </c>
      <c r="D130" s="33">
        <v>4</v>
      </c>
      <c r="E130" s="34">
        <v>475</v>
      </c>
    </row>
    <row r="131" spans="1:5">
      <c r="A131" s="2" t="s">
        <v>379</v>
      </c>
      <c r="B131" s="3" t="s">
        <v>378</v>
      </c>
      <c r="C131" s="3" t="s">
        <v>380</v>
      </c>
      <c r="D131" s="33">
        <v>3</v>
      </c>
      <c r="E131" s="34">
        <v>286</v>
      </c>
    </row>
    <row r="132" spans="1:5" ht="45">
      <c r="A132" s="2" t="s">
        <v>464</v>
      </c>
      <c r="B132" s="3" t="s">
        <v>462</v>
      </c>
      <c r="C132" s="3" t="s">
        <v>465</v>
      </c>
      <c r="D132" s="33">
        <v>5</v>
      </c>
      <c r="E132" s="34">
        <v>953</v>
      </c>
    </row>
    <row r="133" spans="1:5" ht="30">
      <c r="A133" s="39" t="s">
        <v>136</v>
      </c>
      <c r="B133" s="3" t="s">
        <v>160</v>
      </c>
      <c r="C133" s="3" t="s">
        <v>161</v>
      </c>
      <c r="D133" s="33">
        <v>6</v>
      </c>
      <c r="E133" s="34">
        <v>996</v>
      </c>
    </row>
    <row r="134" spans="1:5">
      <c r="A134" s="40"/>
      <c r="B134" s="3" t="s">
        <v>134</v>
      </c>
      <c r="C134" s="3" t="s">
        <v>137</v>
      </c>
      <c r="D134" s="33">
        <v>3</v>
      </c>
      <c r="E134" s="34">
        <v>353</v>
      </c>
    </row>
    <row r="135" spans="1:5" ht="30">
      <c r="A135" s="2" t="s">
        <v>290</v>
      </c>
      <c r="B135" s="3" t="s">
        <v>289</v>
      </c>
      <c r="C135" s="3" t="s">
        <v>291</v>
      </c>
      <c r="D135" s="33">
        <v>2</v>
      </c>
      <c r="E135" s="34">
        <v>227</v>
      </c>
    </row>
    <row r="136" spans="1:5">
      <c r="A136" s="39" t="s">
        <v>339</v>
      </c>
      <c r="B136" s="3" t="s">
        <v>397</v>
      </c>
      <c r="C136" s="3" t="s">
        <v>398</v>
      </c>
      <c r="D136" s="33">
        <v>2</v>
      </c>
      <c r="E136" s="34">
        <v>222</v>
      </c>
    </row>
    <row r="137" spans="1:5" ht="30">
      <c r="A137" s="40"/>
      <c r="B137" s="3" t="s">
        <v>337</v>
      </c>
      <c r="C137" s="3" t="s">
        <v>340</v>
      </c>
      <c r="D137" s="33">
        <v>5</v>
      </c>
      <c r="E137" s="34">
        <v>948</v>
      </c>
    </row>
    <row r="138" spans="1:5">
      <c r="A138" s="2" t="s">
        <v>521</v>
      </c>
      <c r="B138" s="3" t="s">
        <v>520</v>
      </c>
      <c r="C138" s="3" t="s">
        <v>522</v>
      </c>
      <c r="D138" s="33">
        <v>1</v>
      </c>
      <c r="E138" s="34">
        <v>62</v>
      </c>
    </row>
    <row r="139" spans="1:5">
      <c r="A139" s="2" t="s">
        <v>329</v>
      </c>
      <c r="B139" s="3" t="s">
        <v>328</v>
      </c>
      <c r="C139" s="3" t="s">
        <v>330</v>
      </c>
      <c r="D139" s="33">
        <v>2</v>
      </c>
      <c r="E139" s="34">
        <v>251</v>
      </c>
    </row>
    <row r="140" spans="1:5" ht="30">
      <c r="A140" s="2" t="s">
        <v>350</v>
      </c>
      <c r="B140" s="3" t="s">
        <v>349</v>
      </c>
      <c r="C140" s="3" t="s">
        <v>351</v>
      </c>
      <c r="D140" s="33">
        <v>4</v>
      </c>
      <c r="E140" s="34">
        <v>769</v>
      </c>
    </row>
    <row r="141" spans="1:5" ht="30">
      <c r="A141" s="2" t="s">
        <v>276</v>
      </c>
      <c r="B141" s="3" t="s">
        <v>275</v>
      </c>
      <c r="C141" s="3" t="s">
        <v>277</v>
      </c>
      <c r="D141" s="33">
        <v>2</v>
      </c>
      <c r="E141" s="34">
        <v>169</v>
      </c>
    </row>
    <row r="142" spans="1:5">
      <c r="A142" s="2" t="s">
        <v>49</v>
      </c>
      <c r="B142" s="3" t="s">
        <v>48</v>
      </c>
      <c r="C142" s="3" t="s">
        <v>50</v>
      </c>
      <c r="D142" s="33">
        <v>4</v>
      </c>
      <c r="E142" s="34">
        <v>691</v>
      </c>
    </row>
    <row r="143" spans="1:5" ht="30">
      <c r="A143" s="39" t="s">
        <v>99</v>
      </c>
      <c r="B143" s="3" t="s">
        <v>109</v>
      </c>
      <c r="C143" s="3" t="s">
        <v>110</v>
      </c>
      <c r="D143" s="33">
        <v>1</v>
      </c>
      <c r="E143" s="34">
        <v>448</v>
      </c>
    </row>
    <row r="144" spans="1:5" ht="30">
      <c r="A144" s="40"/>
      <c r="B144" s="3" t="s">
        <v>107</v>
      </c>
      <c r="C144" s="3" t="s">
        <v>108</v>
      </c>
      <c r="D144" s="33">
        <v>4</v>
      </c>
      <c r="E144" s="34">
        <v>1060</v>
      </c>
    </row>
    <row r="145" spans="1:5" ht="30">
      <c r="A145" s="40"/>
      <c r="B145" s="3" t="s">
        <v>105</v>
      </c>
      <c r="C145" s="3" t="s">
        <v>106</v>
      </c>
      <c r="D145" s="33">
        <v>6</v>
      </c>
      <c r="E145" s="34">
        <v>867</v>
      </c>
    </row>
    <row r="146" spans="1:5">
      <c r="A146" s="40"/>
      <c r="B146" s="3" t="s">
        <v>98</v>
      </c>
      <c r="C146" s="3" t="s">
        <v>100</v>
      </c>
      <c r="D146" s="33">
        <v>6</v>
      </c>
      <c r="E146" s="34">
        <v>1173</v>
      </c>
    </row>
    <row r="147" spans="1:5" ht="30">
      <c r="A147" s="2" t="s">
        <v>241</v>
      </c>
      <c r="B147" s="3" t="s">
        <v>240</v>
      </c>
      <c r="C147" s="3" t="s">
        <v>242</v>
      </c>
      <c r="D147" s="33">
        <v>4</v>
      </c>
      <c r="E147" s="34">
        <v>546</v>
      </c>
    </row>
    <row r="148" spans="1:5" ht="30">
      <c r="A148" s="2" t="s">
        <v>728</v>
      </c>
      <c r="B148" s="3" t="s">
        <v>727</v>
      </c>
      <c r="C148" s="3" t="s">
        <v>729</v>
      </c>
      <c r="D148" s="33">
        <v>5</v>
      </c>
      <c r="E148" s="34">
        <v>885</v>
      </c>
    </row>
    <row r="149" spans="1:5" ht="30">
      <c r="A149" s="2" t="s">
        <v>382</v>
      </c>
      <c r="B149" s="3" t="s">
        <v>381</v>
      </c>
      <c r="C149" s="3" t="s">
        <v>383</v>
      </c>
      <c r="D149" s="33">
        <v>3</v>
      </c>
      <c r="E149" s="34">
        <v>266</v>
      </c>
    </row>
    <row r="150" spans="1:5" ht="30">
      <c r="A150" s="2" t="s">
        <v>758</v>
      </c>
      <c r="B150" s="3" t="s">
        <v>757</v>
      </c>
      <c r="C150" s="3" t="s">
        <v>759</v>
      </c>
      <c r="D150" s="33">
        <v>4</v>
      </c>
      <c r="E150" s="34">
        <v>668</v>
      </c>
    </row>
    <row r="151" spans="1:5">
      <c r="A151" s="39" t="s">
        <v>489</v>
      </c>
      <c r="B151" s="3" t="s">
        <v>488</v>
      </c>
      <c r="C151" s="3" t="s">
        <v>490</v>
      </c>
      <c r="D151" s="33">
        <v>1</v>
      </c>
      <c r="E151" s="34">
        <v>100</v>
      </c>
    </row>
    <row r="152" spans="1:5" ht="45">
      <c r="A152" s="40"/>
      <c r="B152" s="3" t="s">
        <v>491</v>
      </c>
      <c r="C152" s="3" t="s">
        <v>492</v>
      </c>
      <c r="D152" s="33">
        <v>1</v>
      </c>
      <c r="E152" s="34">
        <v>120</v>
      </c>
    </row>
    <row r="153" spans="1:5">
      <c r="A153" s="2" t="s">
        <v>369</v>
      </c>
      <c r="B153" s="3" t="s">
        <v>368</v>
      </c>
      <c r="C153" s="3" t="s">
        <v>370</v>
      </c>
      <c r="D153" s="33">
        <v>3</v>
      </c>
      <c r="E153" s="34">
        <v>433</v>
      </c>
    </row>
    <row r="154" spans="1:5" ht="30">
      <c r="A154" s="2" t="s">
        <v>317</v>
      </c>
      <c r="B154" s="3" t="s">
        <v>316</v>
      </c>
      <c r="C154" s="3" t="s">
        <v>318</v>
      </c>
      <c r="D154" s="33">
        <v>1</v>
      </c>
      <c r="E154" s="34">
        <v>178</v>
      </c>
    </row>
    <row r="155" spans="1:5">
      <c r="A155" s="2" t="s">
        <v>90</v>
      </c>
      <c r="B155" s="3" t="s">
        <v>89</v>
      </c>
      <c r="C155" s="3" t="s">
        <v>91</v>
      </c>
      <c r="D155" s="33">
        <v>2</v>
      </c>
      <c r="E155" s="34">
        <v>153</v>
      </c>
    </row>
    <row r="156" spans="1:5">
      <c r="A156" s="2" t="s">
        <v>118</v>
      </c>
      <c r="B156" s="3" t="s">
        <v>117</v>
      </c>
      <c r="C156" s="3" t="s">
        <v>119</v>
      </c>
      <c r="D156" s="33">
        <v>1</v>
      </c>
      <c r="E156" s="34">
        <v>99</v>
      </c>
    </row>
    <row r="157" spans="1:5">
      <c r="A157" s="2" t="s">
        <v>356</v>
      </c>
      <c r="B157" s="3" t="s">
        <v>355</v>
      </c>
      <c r="C157" s="3" t="s">
        <v>357</v>
      </c>
      <c r="D157" s="33">
        <v>4</v>
      </c>
      <c r="E157" s="34">
        <v>697</v>
      </c>
    </row>
    <row r="158" spans="1:5">
      <c r="A158" s="2" t="s">
        <v>540</v>
      </c>
      <c r="B158" s="3" t="s">
        <v>539</v>
      </c>
      <c r="C158" s="3" t="s">
        <v>541</v>
      </c>
      <c r="D158" s="33">
        <v>2</v>
      </c>
      <c r="E158" s="34">
        <v>260</v>
      </c>
    </row>
    <row r="159" spans="1:5">
      <c r="A159" s="39" t="s">
        <v>468</v>
      </c>
      <c r="B159" s="3" t="s">
        <v>466</v>
      </c>
      <c r="C159" s="3" t="s">
        <v>469</v>
      </c>
      <c r="D159" s="33">
        <v>4</v>
      </c>
      <c r="E159" s="34">
        <v>960</v>
      </c>
    </row>
    <row r="160" spans="1:5" ht="30">
      <c r="A160" s="40"/>
      <c r="B160" s="3" t="s">
        <v>472</v>
      </c>
      <c r="C160" s="3" t="s">
        <v>473</v>
      </c>
      <c r="D160" s="33">
        <v>1</v>
      </c>
      <c r="E160" s="34">
        <v>235</v>
      </c>
    </row>
    <row r="161" spans="1:5">
      <c r="A161" s="40"/>
      <c r="B161" s="3" t="s">
        <v>478</v>
      </c>
      <c r="C161" s="3" t="s">
        <v>479</v>
      </c>
      <c r="D161" s="33">
        <v>2</v>
      </c>
      <c r="E161" s="34">
        <v>1351</v>
      </c>
    </row>
    <row r="162" spans="1:5" ht="30">
      <c r="A162" s="40"/>
      <c r="B162" s="3" t="s">
        <v>482</v>
      </c>
      <c r="C162" s="3" t="s">
        <v>483</v>
      </c>
      <c r="D162" s="33">
        <v>8</v>
      </c>
      <c r="E162" s="34">
        <v>1803</v>
      </c>
    </row>
    <row r="163" spans="1:5">
      <c r="A163" s="40"/>
      <c r="B163" s="3" t="s">
        <v>480</v>
      </c>
      <c r="C163" s="3" t="s">
        <v>481</v>
      </c>
      <c r="D163" s="33">
        <v>1</v>
      </c>
      <c r="E163" s="34">
        <v>40</v>
      </c>
    </row>
    <row r="164" spans="1:5">
      <c r="A164" s="40"/>
      <c r="B164" s="3" t="s">
        <v>474</v>
      </c>
      <c r="C164" s="3" t="s">
        <v>475</v>
      </c>
      <c r="D164" s="33">
        <v>6</v>
      </c>
      <c r="E164" s="34">
        <v>1077</v>
      </c>
    </row>
    <row r="165" spans="1:5">
      <c r="A165" s="39" t="s">
        <v>699</v>
      </c>
      <c r="B165" s="3" t="s">
        <v>780</v>
      </c>
      <c r="C165" s="3" t="s">
        <v>781</v>
      </c>
      <c r="D165" s="33">
        <v>1</v>
      </c>
      <c r="E165" s="34">
        <v>75</v>
      </c>
    </row>
    <row r="166" spans="1:5" ht="30">
      <c r="A166" s="40"/>
      <c r="B166" s="3" t="s">
        <v>697</v>
      </c>
      <c r="C166" s="3" t="s">
        <v>700</v>
      </c>
      <c r="D166" s="33">
        <v>2</v>
      </c>
      <c r="E166" s="34">
        <v>280</v>
      </c>
    </row>
    <row r="167" spans="1:5" ht="30">
      <c r="A167" s="40"/>
      <c r="B167" s="3" t="s">
        <v>739</v>
      </c>
      <c r="C167" s="3" t="s">
        <v>740</v>
      </c>
      <c r="D167" s="33">
        <v>9</v>
      </c>
      <c r="E167" s="34">
        <v>1416</v>
      </c>
    </row>
    <row r="168" spans="1:5" ht="30">
      <c r="A168" s="40"/>
      <c r="B168" s="3" t="s">
        <v>741</v>
      </c>
      <c r="C168" s="3" t="s">
        <v>742</v>
      </c>
      <c r="D168" s="33">
        <v>10</v>
      </c>
      <c r="E168" s="34">
        <v>1287</v>
      </c>
    </row>
    <row r="169" spans="1:5">
      <c r="A169" s="40"/>
      <c r="B169" s="3" t="s">
        <v>770</v>
      </c>
      <c r="C169" s="3" t="s">
        <v>771</v>
      </c>
      <c r="D169" s="33">
        <v>3</v>
      </c>
      <c r="E169" s="34">
        <v>237</v>
      </c>
    </row>
    <row r="170" spans="1:5" ht="30">
      <c r="A170" s="40"/>
      <c r="B170" s="3" t="s">
        <v>772</v>
      </c>
      <c r="C170" s="3" t="s">
        <v>773</v>
      </c>
      <c r="D170" s="33">
        <v>5</v>
      </c>
      <c r="E170" s="34">
        <v>538</v>
      </c>
    </row>
    <row r="171" spans="1:5">
      <c r="A171" s="40"/>
      <c r="B171" s="3" t="s">
        <v>753</v>
      </c>
      <c r="C171" s="3" t="s">
        <v>754</v>
      </c>
      <c r="D171" s="33">
        <v>5</v>
      </c>
      <c r="E171" s="34">
        <v>917</v>
      </c>
    </row>
    <row r="172" spans="1:5">
      <c r="A172" s="40"/>
      <c r="B172" s="3" t="s">
        <v>755</v>
      </c>
      <c r="C172" s="3" t="s">
        <v>756</v>
      </c>
      <c r="D172" s="33">
        <v>7</v>
      </c>
      <c r="E172" s="34">
        <v>1184</v>
      </c>
    </row>
    <row r="173" spans="1:5" ht="45">
      <c r="A173" s="40"/>
      <c r="B173" s="3" t="s">
        <v>719</v>
      </c>
      <c r="C173" s="3" t="s">
        <v>720</v>
      </c>
      <c r="D173" s="33">
        <v>1</v>
      </c>
      <c r="E173" s="34">
        <v>32</v>
      </c>
    </row>
    <row r="174" spans="1:5">
      <c r="A174" s="40"/>
      <c r="B174" s="3" t="s">
        <v>725</v>
      </c>
      <c r="C174" s="3" t="s">
        <v>726</v>
      </c>
      <c r="D174" s="33">
        <v>6</v>
      </c>
      <c r="E174" s="34">
        <v>1160</v>
      </c>
    </row>
    <row r="175" spans="1:5" ht="30">
      <c r="A175" s="40"/>
      <c r="B175" s="3" t="s">
        <v>723</v>
      </c>
      <c r="C175" s="3" t="s">
        <v>724</v>
      </c>
      <c r="D175" s="33">
        <v>1</v>
      </c>
      <c r="E175" s="34">
        <v>256</v>
      </c>
    </row>
    <row r="176" spans="1:5">
      <c r="A176" s="40"/>
      <c r="B176" s="3" t="s">
        <v>782</v>
      </c>
      <c r="C176" s="3" t="s">
        <v>783</v>
      </c>
      <c r="D176" s="33">
        <v>1</v>
      </c>
      <c r="E176" s="34">
        <v>289</v>
      </c>
    </row>
    <row r="177" spans="1:5">
      <c r="A177" s="40"/>
      <c r="B177" s="3" t="s">
        <v>791</v>
      </c>
      <c r="C177" s="3" t="s">
        <v>792</v>
      </c>
      <c r="D177" s="33">
        <v>1</v>
      </c>
      <c r="E177" s="34">
        <v>460</v>
      </c>
    </row>
    <row r="178" spans="1:5" ht="30">
      <c r="A178" s="40"/>
      <c r="B178" s="3" t="s">
        <v>710</v>
      </c>
      <c r="C178" s="3" t="s">
        <v>711</v>
      </c>
      <c r="D178" s="33">
        <v>6</v>
      </c>
      <c r="E178" s="34">
        <v>928</v>
      </c>
    </row>
    <row r="179" spans="1:5" ht="30">
      <c r="A179" s="40"/>
      <c r="B179" s="3" t="s">
        <v>704</v>
      </c>
      <c r="C179" s="3" t="s">
        <v>705</v>
      </c>
      <c r="D179" s="33">
        <v>5</v>
      </c>
      <c r="E179" s="34">
        <v>712</v>
      </c>
    </row>
    <row r="180" spans="1:5">
      <c r="A180" s="40"/>
      <c r="B180" s="3" t="s">
        <v>712</v>
      </c>
      <c r="C180" s="3" t="s">
        <v>713</v>
      </c>
      <c r="D180" s="33">
        <v>6</v>
      </c>
      <c r="E180" s="34">
        <v>1216</v>
      </c>
    </row>
    <row r="181" spans="1:5">
      <c r="A181" s="40"/>
      <c r="B181" s="3" t="s">
        <v>716</v>
      </c>
      <c r="C181" s="3" t="s">
        <v>717</v>
      </c>
      <c r="D181" s="33">
        <v>1</v>
      </c>
      <c r="E181" s="34">
        <v>12</v>
      </c>
    </row>
    <row r="182" spans="1:5">
      <c r="A182" s="40"/>
      <c r="B182" s="3" t="s">
        <v>706</v>
      </c>
      <c r="C182" s="3" t="s">
        <v>707</v>
      </c>
      <c r="D182" s="33">
        <v>10</v>
      </c>
      <c r="E182" s="34">
        <v>1622</v>
      </c>
    </row>
    <row r="183" spans="1:5" ht="30">
      <c r="A183" s="40"/>
      <c r="B183" s="3" t="s">
        <v>708</v>
      </c>
      <c r="C183" s="3" t="s">
        <v>709</v>
      </c>
      <c r="D183" s="33">
        <v>7</v>
      </c>
      <c r="E183" s="34">
        <v>1593</v>
      </c>
    </row>
    <row r="184" spans="1:5">
      <c r="A184" s="40"/>
      <c r="B184" s="3" t="s">
        <v>730</v>
      </c>
      <c r="C184" s="3" t="s">
        <v>731</v>
      </c>
      <c r="D184" s="33">
        <v>6</v>
      </c>
      <c r="E184" s="34">
        <v>940</v>
      </c>
    </row>
    <row r="185" spans="1:5">
      <c r="A185" s="40"/>
      <c r="B185" s="3" t="s">
        <v>735</v>
      </c>
      <c r="C185" s="3" t="s">
        <v>736</v>
      </c>
      <c r="D185" s="33">
        <v>6</v>
      </c>
      <c r="E185" s="34">
        <v>1279</v>
      </c>
    </row>
    <row r="186" spans="1:5">
      <c r="A186" s="40"/>
      <c r="B186" s="3" t="s">
        <v>737</v>
      </c>
      <c r="C186" s="3" t="s">
        <v>738</v>
      </c>
      <c r="D186" s="33">
        <v>3</v>
      </c>
      <c r="E186" s="34">
        <v>317</v>
      </c>
    </row>
    <row r="187" spans="1:5" ht="30">
      <c r="A187" s="39" t="s">
        <v>122</v>
      </c>
      <c r="B187" s="3" t="s">
        <v>121</v>
      </c>
      <c r="C187" s="3" t="s">
        <v>123</v>
      </c>
      <c r="D187" s="33">
        <v>2</v>
      </c>
      <c r="E187" s="34">
        <v>136</v>
      </c>
    </row>
    <row r="188" spans="1:5" ht="30">
      <c r="A188" s="40"/>
      <c r="B188" s="3" t="s">
        <v>124</v>
      </c>
      <c r="C188" s="3" t="s">
        <v>125</v>
      </c>
      <c r="D188" s="33">
        <v>1</v>
      </c>
      <c r="E188" s="34">
        <v>98</v>
      </c>
    </row>
    <row r="189" spans="1:5" ht="30">
      <c r="A189" s="2" t="s">
        <v>212</v>
      </c>
      <c r="B189" s="3" t="s">
        <v>211</v>
      </c>
      <c r="C189" s="3" t="s">
        <v>213</v>
      </c>
      <c r="D189" s="33">
        <v>2</v>
      </c>
      <c r="E189" s="34">
        <v>277</v>
      </c>
    </row>
    <row r="190" spans="1:5">
      <c r="A190" s="2" t="s">
        <v>414</v>
      </c>
      <c r="B190" s="3" t="s">
        <v>413</v>
      </c>
      <c r="C190" s="3" t="s">
        <v>415</v>
      </c>
      <c r="D190" s="33">
        <v>1</v>
      </c>
      <c r="E190" s="34">
        <v>210</v>
      </c>
    </row>
    <row r="191" spans="1:5" ht="30">
      <c r="A191" s="39" t="s">
        <v>401</v>
      </c>
      <c r="B191" s="3" t="s">
        <v>410</v>
      </c>
      <c r="C191" s="3" t="s">
        <v>411</v>
      </c>
      <c r="D191" s="33">
        <v>5</v>
      </c>
      <c r="E191" s="34">
        <v>1257</v>
      </c>
    </row>
    <row r="192" spans="1:5" ht="30">
      <c r="A192" s="40"/>
      <c r="B192" s="3" t="s">
        <v>399</v>
      </c>
      <c r="C192" s="3" t="s">
        <v>402</v>
      </c>
      <c r="D192" s="33">
        <v>5</v>
      </c>
      <c r="E192" s="34">
        <v>870</v>
      </c>
    </row>
    <row r="193" spans="1:5">
      <c r="A193" s="40"/>
      <c r="B193" s="3" t="s">
        <v>403</v>
      </c>
      <c r="C193" s="3" t="s">
        <v>404</v>
      </c>
      <c r="D193" s="33">
        <v>5</v>
      </c>
      <c r="E193" s="34">
        <v>1048</v>
      </c>
    </row>
    <row r="194" spans="1:5">
      <c r="A194" s="39" t="s">
        <v>353</v>
      </c>
      <c r="B194" s="3" t="s">
        <v>386</v>
      </c>
      <c r="C194" s="3" t="s">
        <v>387</v>
      </c>
      <c r="D194" s="33">
        <v>1</v>
      </c>
      <c r="E194" s="34">
        <v>600</v>
      </c>
    </row>
    <row r="195" spans="1:5">
      <c r="A195" s="40"/>
      <c r="B195" s="3" t="s">
        <v>388</v>
      </c>
      <c r="C195" s="3" t="s">
        <v>389</v>
      </c>
      <c r="D195" s="33">
        <v>1</v>
      </c>
      <c r="E195" s="34">
        <v>120</v>
      </c>
    </row>
    <row r="196" spans="1:5">
      <c r="A196" s="40"/>
      <c r="B196" s="3" t="s">
        <v>352</v>
      </c>
      <c r="C196" s="3" t="s">
        <v>354</v>
      </c>
      <c r="D196" s="33">
        <v>5</v>
      </c>
      <c r="E196" s="34">
        <v>1273</v>
      </c>
    </row>
    <row r="197" spans="1:5">
      <c r="A197" s="39" t="s">
        <v>312</v>
      </c>
      <c r="B197" s="3" t="s">
        <v>321</v>
      </c>
      <c r="C197" s="3" t="s">
        <v>322</v>
      </c>
      <c r="D197" s="33">
        <v>6</v>
      </c>
      <c r="E197" s="34">
        <v>1140</v>
      </c>
    </row>
    <row r="198" spans="1:5" ht="30">
      <c r="A198" s="40"/>
      <c r="B198" s="3" t="s">
        <v>323</v>
      </c>
      <c r="C198" s="3" t="s">
        <v>324</v>
      </c>
      <c r="D198" s="33">
        <v>8</v>
      </c>
      <c r="E198" s="34">
        <v>1498</v>
      </c>
    </row>
    <row r="199" spans="1:5">
      <c r="A199" s="40"/>
      <c r="B199" s="3" t="s">
        <v>325</v>
      </c>
      <c r="C199" s="3" t="s">
        <v>326</v>
      </c>
      <c r="D199" s="33">
        <v>5</v>
      </c>
      <c r="E199" s="34">
        <v>934</v>
      </c>
    </row>
    <row r="200" spans="1:5" ht="45">
      <c r="A200" s="40"/>
      <c r="B200" s="3" t="s">
        <v>311</v>
      </c>
      <c r="C200" s="3" t="s">
        <v>313</v>
      </c>
      <c r="D200" s="33">
        <v>4</v>
      </c>
      <c r="E200" s="34">
        <v>600</v>
      </c>
    </row>
    <row r="201" spans="1:5" ht="30">
      <c r="A201" s="40"/>
      <c r="B201" s="3" t="s">
        <v>319</v>
      </c>
      <c r="C201" s="3" t="s">
        <v>320</v>
      </c>
      <c r="D201" s="33">
        <v>6</v>
      </c>
      <c r="E201" s="34">
        <v>1556</v>
      </c>
    </row>
    <row r="202" spans="1:5">
      <c r="A202" s="2" t="s">
        <v>217</v>
      </c>
      <c r="B202" s="3" t="s">
        <v>215</v>
      </c>
      <c r="C202" s="3" t="s">
        <v>218</v>
      </c>
      <c r="D202" s="33">
        <v>1</v>
      </c>
      <c r="E202" s="34">
        <v>224</v>
      </c>
    </row>
    <row r="203" spans="1:5">
      <c r="A203" s="2" t="s">
        <v>360</v>
      </c>
      <c r="B203" s="3" t="s">
        <v>359</v>
      </c>
      <c r="C203" s="3" t="s">
        <v>361</v>
      </c>
      <c r="D203" s="33">
        <v>2</v>
      </c>
      <c r="E203" s="34">
        <v>212</v>
      </c>
    </row>
    <row r="204" spans="1:5" ht="30">
      <c r="A204" s="39" t="s">
        <v>63</v>
      </c>
      <c r="B204" s="3" t="s">
        <v>62</v>
      </c>
      <c r="C204" s="3" t="s">
        <v>64</v>
      </c>
      <c r="D204" s="33">
        <v>4</v>
      </c>
      <c r="E204" s="34">
        <v>737</v>
      </c>
    </row>
    <row r="205" spans="1:5" ht="30">
      <c r="A205" s="40"/>
      <c r="B205" s="3" t="s">
        <v>65</v>
      </c>
      <c r="C205" s="3" t="s">
        <v>66</v>
      </c>
      <c r="D205" s="33">
        <v>4</v>
      </c>
      <c r="E205" s="34">
        <v>994</v>
      </c>
    </row>
    <row r="206" spans="1:5">
      <c r="A206" s="2" t="s">
        <v>222</v>
      </c>
      <c r="B206" s="3" t="s">
        <v>221</v>
      </c>
      <c r="C206" s="3" t="s">
        <v>223</v>
      </c>
      <c r="D206" s="33">
        <v>4</v>
      </c>
      <c r="E206" s="34">
        <v>580</v>
      </c>
    </row>
    <row r="207" spans="1:5" ht="45">
      <c r="A207" s="39" t="s">
        <v>233</v>
      </c>
      <c r="B207" s="3" t="s">
        <v>247</v>
      </c>
      <c r="C207" s="3" t="s">
        <v>248</v>
      </c>
      <c r="D207" s="33">
        <v>4</v>
      </c>
      <c r="E207" s="34">
        <v>1063</v>
      </c>
    </row>
    <row r="208" spans="1:5" ht="30">
      <c r="A208" s="40"/>
      <c r="B208" s="3" t="s">
        <v>243</v>
      </c>
      <c r="C208" s="3" t="s">
        <v>244</v>
      </c>
      <c r="D208" s="33">
        <v>5</v>
      </c>
      <c r="E208" s="34">
        <v>883</v>
      </c>
    </row>
    <row r="209" spans="1:5">
      <c r="A209" s="40"/>
      <c r="B209" s="3" t="s">
        <v>231</v>
      </c>
      <c r="C209" s="3" t="s">
        <v>234</v>
      </c>
      <c r="D209" s="33">
        <v>4</v>
      </c>
      <c r="E209" s="34">
        <v>617</v>
      </c>
    </row>
    <row r="210" spans="1:5">
      <c r="A210" s="39" t="s">
        <v>178</v>
      </c>
      <c r="B210" s="3" t="s">
        <v>176</v>
      </c>
      <c r="C210" s="3" t="s">
        <v>179</v>
      </c>
      <c r="D210" s="33">
        <v>1</v>
      </c>
      <c r="E210" s="34">
        <v>250</v>
      </c>
    </row>
    <row r="211" spans="1:5" ht="30">
      <c r="A211" s="40"/>
      <c r="B211" s="3" t="s">
        <v>187</v>
      </c>
      <c r="C211" s="3" t="s">
        <v>188</v>
      </c>
      <c r="D211" s="33">
        <v>7</v>
      </c>
      <c r="E211" s="34">
        <v>1656</v>
      </c>
    </row>
    <row r="212" spans="1:5" ht="30">
      <c r="A212" s="40"/>
      <c r="B212" s="3" t="s">
        <v>189</v>
      </c>
      <c r="C212" s="3" t="s">
        <v>190</v>
      </c>
      <c r="D212" s="33">
        <v>4</v>
      </c>
      <c r="E212" s="34">
        <v>886</v>
      </c>
    </row>
    <row r="213" spans="1:5">
      <c r="A213" s="40"/>
      <c r="B213" s="3" t="s">
        <v>180</v>
      </c>
      <c r="C213" s="3" t="s">
        <v>181</v>
      </c>
      <c r="D213" s="33">
        <v>5</v>
      </c>
      <c r="E213" s="34">
        <v>990</v>
      </c>
    </row>
    <row r="214" spans="1:5">
      <c r="A214" s="40"/>
      <c r="B214" s="3" t="s">
        <v>185</v>
      </c>
      <c r="C214" s="3" t="s">
        <v>186</v>
      </c>
      <c r="D214" s="33">
        <v>4</v>
      </c>
      <c r="E214" s="34">
        <v>570</v>
      </c>
    </row>
    <row r="215" spans="1:5">
      <c r="A215" s="2" t="s">
        <v>144</v>
      </c>
      <c r="B215" s="3" t="s">
        <v>143</v>
      </c>
      <c r="C215" s="3" t="s">
        <v>145</v>
      </c>
      <c r="D215" s="33">
        <v>6</v>
      </c>
      <c r="E215" s="34">
        <v>1163</v>
      </c>
    </row>
    <row r="216" spans="1:5">
      <c r="A216" s="39" t="s">
        <v>307</v>
      </c>
      <c r="B216" s="3" t="s">
        <v>305</v>
      </c>
      <c r="C216" s="3" t="s">
        <v>308</v>
      </c>
      <c r="D216" s="33">
        <v>3</v>
      </c>
      <c r="E216" s="34">
        <v>345</v>
      </c>
    </row>
    <row r="217" spans="1:5" ht="45">
      <c r="A217" s="40"/>
      <c r="B217" s="3" t="s">
        <v>309</v>
      </c>
      <c r="C217" s="3" t="s">
        <v>310</v>
      </c>
      <c r="D217" s="33">
        <v>4</v>
      </c>
      <c r="E217" s="34">
        <v>600</v>
      </c>
    </row>
    <row r="218" spans="1:5">
      <c r="A218" s="39" t="s">
        <v>443</v>
      </c>
      <c r="B218" s="3" t="s">
        <v>445</v>
      </c>
      <c r="C218" s="3" t="s">
        <v>446</v>
      </c>
      <c r="D218" s="33">
        <v>4</v>
      </c>
      <c r="E218" s="34">
        <v>529</v>
      </c>
    </row>
    <row r="219" spans="1:5">
      <c r="A219" s="40"/>
      <c r="B219" s="3" t="s">
        <v>441</v>
      </c>
      <c r="C219" s="3" t="s">
        <v>444</v>
      </c>
      <c r="D219" s="33">
        <v>6</v>
      </c>
      <c r="E219" s="34">
        <v>1248</v>
      </c>
    </row>
    <row r="220" spans="1:5" ht="30">
      <c r="A220" s="2" t="s">
        <v>209</v>
      </c>
      <c r="B220" s="3" t="s">
        <v>207</v>
      </c>
      <c r="C220" s="3" t="s">
        <v>210</v>
      </c>
      <c r="D220" s="33">
        <v>2</v>
      </c>
      <c r="E220" s="34">
        <v>264</v>
      </c>
    </row>
    <row r="221" spans="1:5">
      <c r="A221" s="2" t="s">
        <v>517</v>
      </c>
      <c r="B221" s="3" t="s">
        <v>516</v>
      </c>
      <c r="C221" s="3" t="s">
        <v>518</v>
      </c>
      <c r="D221" s="33">
        <v>2</v>
      </c>
      <c r="E221" s="34">
        <v>180</v>
      </c>
    </row>
    <row r="222" spans="1:5" ht="30">
      <c r="A222" s="2" t="s">
        <v>421</v>
      </c>
      <c r="B222" s="3" t="s">
        <v>419</v>
      </c>
      <c r="C222" s="3" t="s">
        <v>422</v>
      </c>
      <c r="D222" s="33">
        <v>4</v>
      </c>
      <c r="E222" s="34">
        <v>600</v>
      </c>
    </row>
    <row r="223" spans="1:5" ht="45">
      <c r="A223" s="2" t="s">
        <v>258</v>
      </c>
      <c r="B223" s="3" t="s">
        <v>257</v>
      </c>
      <c r="C223" s="3" t="s">
        <v>259</v>
      </c>
      <c r="D223" s="33">
        <v>3</v>
      </c>
      <c r="E223" s="34">
        <v>370</v>
      </c>
    </row>
    <row r="224" spans="1:5" ht="30">
      <c r="A224" s="2" t="s">
        <v>301</v>
      </c>
      <c r="B224" s="3" t="s">
        <v>299</v>
      </c>
      <c r="C224" s="3" t="s">
        <v>302</v>
      </c>
      <c r="D224" s="33">
        <v>6</v>
      </c>
      <c r="E224" s="34">
        <v>1192</v>
      </c>
    </row>
    <row r="225" spans="1:5">
      <c r="A225" s="2" t="s">
        <v>763</v>
      </c>
      <c r="B225" s="3" t="s">
        <v>762</v>
      </c>
      <c r="C225" s="3" t="s">
        <v>764</v>
      </c>
      <c r="D225" s="33">
        <v>5</v>
      </c>
      <c r="E225" s="34">
        <v>843</v>
      </c>
    </row>
    <row r="226" spans="1:5">
      <c r="A226" s="39" t="s">
        <v>746</v>
      </c>
      <c r="B226" s="3" t="s">
        <v>745</v>
      </c>
      <c r="C226" s="3" t="s">
        <v>747</v>
      </c>
      <c r="D226" s="33">
        <v>5</v>
      </c>
      <c r="E226" s="34">
        <v>996</v>
      </c>
    </row>
    <row r="227" spans="1:5">
      <c r="A227" s="40"/>
      <c r="B227" s="3" t="s">
        <v>748</v>
      </c>
      <c r="C227" s="3" t="s">
        <v>749</v>
      </c>
      <c r="D227" s="33">
        <v>9</v>
      </c>
      <c r="E227" s="34">
        <v>1339</v>
      </c>
    </row>
    <row r="228" spans="1:5">
      <c r="A228" s="40"/>
      <c r="B228" s="3" t="s">
        <v>760</v>
      </c>
      <c r="C228" s="3" t="s">
        <v>761</v>
      </c>
      <c r="D228" s="33">
        <v>7</v>
      </c>
      <c r="E228" s="34">
        <v>1072</v>
      </c>
    </row>
    <row r="229" spans="1:5" ht="30">
      <c r="A229" s="2" t="s">
        <v>417</v>
      </c>
      <c r="B229" s="3" t="s">
        <v>416</v>
      </c>
      <c r="C229" s="3" t="s">
        <v>418</v>
      </c>
      <c r="D229" s="33">
        <v>1</v>
      </c>
      <c r="E229" s="34">
        <v>86</v>
      </c>
    </row>
    <row r="230" spans="1:5">
      <c r="A230" s="2" t="s">
        <v>198</v>
      </c>
      <c r="B230" s="3" t="s">
        <v>197</v>
      </c>
      <c r="C230" s="3" t="s">
        <v>199</v>
      </c>
      <c r="D230" s="33">
        <v>1</v>
      </c>
      <c r="E230" s="34">
        <v>50</v>
      </c>
    </row>
    <row r="231" spans="1:5">
      <c r="A231" s="39" t="s">
        <v>170</v>
      </c>
      <c r="B231" s="3" t="s">
        <v>169</v>
      </c>
      <c r="C231" s="3" t="s">
        <v>171</v>
      </c>
      <c r="D231" s="33">
        <v>1</v>
      </c>
      <c r="E231" s="34">
        <v>120</v>
      </c>
    </row>
    <row r="232" spans="1:5">
      <c r="A232" s="40"/>
      <c r="B232" s="3" t="s">
        <v>173</v>
      </c>
      <c r="C232" s="3" t="s">
        <v>174</v>
      </c>
      <c r="D232" s="33">
        <v>2</v>
      </c>
      <c r="E232" s="34">
        <v>374</v>
      </c>
    </row>
    <row r="233" spans="1:5" ht="30">
      <c r="A233" s="39" t="s">
        <v>156</v>
      </c>
      <c r="B233" s="3" t="s">
        <v>155</v>
      </c>
      <c r="C233" s="3" t="s">
        <v>157</v>
      </c>
      <c r="D233" s="33">
        <v>4</v>
      </c>
      <c r="E233" s="34">
        <v>710</v>
      </c>
    </row>
    <row r="234" spans="1:5" ht="30">
      <c r="A234" s="40"/>
      <c r="B234" s="3" t="s">
        <v>163</v>
      </c>
      <c r="C234" s="3" t="s">
        <v>164</v>
      </c>
      <c r="D234" s="33">
        <v>2</v>
      </c>
      <c r="E234" s="34">
        <v>303</v>
      </c>
    </row>
    <row r="235" spans="1:5" ht="30">
      <c r="A235" s="2" t="s">
        <v>335</v>
      </c>
      <c r="B235" s="3" t="s">
        <v>333</v>
      </c>
      <c r="C235" s="3" t="s">
        <v>336</v>
      </c>
      <c r="D235" s="33">
        <v>2</v>
      </c>
      <c r="E235" s="34">
        <v>259</v>
      </c>
    </row>
    <row r="236" spans="1:5" ht="30">
      <c r="A236" s="2" t="s">
        <v>96</v>
      </c>
      <c r="B236" s="3" t="s">
        <v>94</v>
      </c>
      <c r="C236" s="3" t="s">
        <v>97</v>
      </c>
      <c r="D236" s="33">
        <v>2</v>
      </c>
      <c r="E236" s="34">
        <v>248</v>
      </c>
    </row>
    <row r="237" spans="1:5" ht="60">
      <c r="A237" s="39" t="s">
        <v>285</v>
      </c>
      <c r="B237" s="3" t="s">
        <v>284</v>
      </c>
      <c r="C237" s="3" t="s">
        <v>286</v>
      </c>
      <c r="D237" s="33">
        <v>6</v>
      </c>
      <c r="E237" s="34">
        <v>1549</v>
      </c>
    </row>
    <row r="238" spans="1:5" ht="45">
      <c r="A238" s="40"/>
      <c r="B238" s="3" t="s">
        <v>297</v>
      </c>
      <c r="C238" s="3" t="s">
        <v>298</v>
      </c>
      <c r="D238" s="33">
        <v>4</v>
      </c>
      <c r="E238" s="34">
        <v>424</v>
      </c>
    </row>
    <row r="239" spans="1:5" ht="30">
      <c r="A239" s="40"/>
      <c r="B239" s="3" t="s">
        <v>294</v>
      </c>
      <c r="C239" s="3" t="s">
        <v>295</v>
      </c>
      <c r="D239" s="33">
        <v>4</v>
      </c>
      <c r="E239" s="34">
        <v>608</v>
      </c>
    </row>
    <row r="240" spans="1:5" ht="30">
      <c r="A240" s="2" t="s">
        <v>676</v>
      </c>
      <c r="B240" s="3" t="s">
        <v>675</v>
      </c>
      <c r="C240" s="3" t="s">
        <v>677</v>
      </c>
      <c r="D240" s="33">
        <v>3</v>
      </c>
      <c r="E240" s="34">
        <v>540</v>
      </c>
    </row>
    <row r="241" spans="1:5">
      <c r="A241" s="39" t="s">
        <v>128</v>
      </c>
      <c r="B241" s="3" t="s">
        <v>132</v>
      </c>
      <c r="C241" s="3" t="s">
        <v>133</v>
      </c>
      <c r="D241" s="33">
        <v>6</v>
      </c>
      <c r="E241" s="34">
        <v>813</v>
      </c>
    </row>
    <row r="242" spans="1:5">
      <c r="A242" s="40"/>
      <c r="B242" s="3" t="s">
        <v>126</v>
      </c>
      <c r="C242" s="3" t="s">
        <v>129</v>
      </c>
      <c r="D242" s="33">
        <v>4</v>
      </c>
      <c r="E242" s="34">
        <v>450</v>
      </c>
    </row>
    <row r="243" spans="1:5" ht="30">
      <c r="A243" s="39" t="s">
        <v>345</v>
      </c>
      <c r="B243" s="3" t="s">
        <v>362</v>
      </c>
      <c r="C243" s="3" t="s">
        <v>363</v>
      </c>
      <c r="D243" s="33">
        <v>2</v>
      </c>
      <c r="E243" s="34">
        <v>500</v>
      </c>
    </row>
    <row r="244" spans="1:5" ht="30">
      <c r="A244" s="40"/>
      <c r="B244" s="3" t="s">
        <v>344</v>
      </c>
      <c r="C244" s="3" t="s">
        <v>346</v>
      </c>
      <c r="D244" s="33">
        <v>7</v>
      </c>
      <c r="E244" s="34">
        <v>1443</v>
      </c>
    </row>
    <row r="245" spans="1:5">
      <c r="A245" s="40"/>
      <c r="B245" s="3" t="s">
        <v>347</v>
      </c>
      <c r="C245" s="3" t="s">
        <v>348</v>
      </c>
      <c r="D245" s="33">
        <v>9</v>
      </c>
      <c r="E245" s="34">
        <v>1764</v>
      </c>
    </row>
    <row r="246" spans="1:5" ht="30">
      <c r="A246" s="40"/>
      <c r="B246" s="3" t="s">
        <v>364</v>
      </c>
      <c r="C246" s="3" t="s">
        <v>365</v>
      </c>
      <c r="D246" s="33">
        <v>6</v>
      </c>
      <c r="E246" s="34">
        <v>1212</v>
      </c>
    </row>
    <row r="247" spans="1:5" ht="30">
      <c r="A247" s="2" t="s">
        <v>505</v>
      </c>
      <c r="B247" s="3" t="s">
        <v>504</v>
      </c>
      <c r="C247" s="3" t="s">
        <v>506</v>
      </c>
      <c r="D247" s="33">
        <v>3</v>
      </c>
      <c r="E247" s="34">
        <v>396</v>
      </c>
    </row>
    <row r="248" spans="1:5" ht="30">
      <c r="A248" s="39" t="s">
        <v>687</v>
      </c>
      <c r="B248" s="3" t="s">
        <v>691</v>
      </c>
      <c r="C248" s="3" t="s">
        <v>692</v>
      </c>
      <c r="D248" s="33">
        <v>6</v>
      </c>
      <c r="E248" s="34">
        <v>949</v>
      </c>
    </row>
    <row r="249" spans="1:5" ht="30">
      <c r="A249" s="40"/>
      <c r="B249" s="3" t="s">
        <v>686</v>
      </c>
      <c r="C249" s="3" t="s">
        <v>688</v>
      </c>
      <c r="D249" s="33">
        <v>7</v>
      </c>
      <c r="E249" s="34">
        <v>1344</v>
      </c>
    </row>
    <row r="250" spans="1:5">
      <c r="A250" s="39" t="s">
        <v>34</v>
      </c>
      <c r="B250" s="3" t="s">
        <v>33</v>
      </c>
      <c r="C250" s="3" t="s">
        <v>35</v>
      </c>
      <c r="D250" s="33">
        <v>4</v>
      </c>
      <c r="E250" s="34">
        <v>743</v>
      </c>
    </row>
    <row r="251" spans="1:5">
      <c r="A251" s="40"/>
      <c r="B251" s="3" t="s">
        <v>46</v>
      </c>
      <c r="C251" s="3" t="s">
        <v>47</v>
      </c>
      <c r="D251" s="33">
        <v>5</v>
      </c>
      <c r="E251" s="34">
        <v>781</v>
      </c>
    </row>
    <row r="252" spans="1:5">
      <c r="A252" s="2" t="s">
        <v>238</v>
      </c>
      <c r="B252" s="3" t="s">
        <v>237</v>
      </c>
      <c r="C252" s="3" t="s">
        <v>239</v>
      </c>
      <c r="D252" s="33">
        <v>1</v>
      </c>
      <c r="E252" s="34">
        <v>35</v>
      </c>
    </row>
    <row r="253" spans="1:5" ht="30">
      <c r="A253" s="39" t="s">
        <v>499</v>
      </c>
      <c r="B253" s="3" t="s">
        <v>502</v>
      </c>
      <c r="C253" s="3" t="s">
        <v>503</v>
      </c>
      <c r="D253" s="33">
        <v>4</v>
      </c>
      <c r="E253" s="34">
        <v>608</v>
      </c>
    </row>
    <row r="254" spans="1:5">
      <c r="A254" s="40"/>
      <c r="B254" s="3" t="s">
        <v>513</v>
      </c>
      <c r="C254" s="3" t="s">
        <v>514</v>
      </c>
      <c r="D254" s="33">
        <v>1</v>
      </c>
      <c r="E254" s="34">
        <v>50</v>
      </c>
    </row>
    <row r="255" spans="1:5" ht="30">
      <c r="A255" s="40"/>
      <c r="B255" s="3" t="s">
        <v>498</v>
      </c>
      <c r="C255" s="3" t="s">
        <v>500</v>
      </c>
      <c r="D255" s="33">
        <v>6</v>
      </c>
      <c r="E255" s="34">
        <v>1148</v>
      </c>
    </row>
    <row r="256" spans="1:5" ht="45">
      <c r="A256" s="2" t="s">
        <v>536</v>
      </c>
      <c r="B256" s="3" t="s">
        <v>535</v>
      </c>
      <c r="C256" s="3" t="s">
        <v>537</v>
      </c>
      <c r="D256" s="33">
        <v>6</v>
      </c>
      <c r="E256" s="34">
        <v>1284</v>
      </c>
    </row>
    <row r="257" spans="1:5">
      <c r="A257" s="39" t="s">
        <v>426</v>
      </c>
      <c r="B257" s="3" t="s">
        <v>428</v>
      </c>
      <c r="C257" s="3" t="s">
        <v>429</v>
      </c>
      <c r="D257" s="33">
        <v>6</v>
      </c>
      <c r="E257" s="34">
        <v>1253</v>
      </c>
    </row>
    <row r="258" spans="1:5" ht="30">
      <c r="A258" s="40"/>
      <c r="B258" s="3" t="s">
        <v>433</v>
      </c>
      <c r="C258" s="3" t="s">
        <v>434</v>
      </c>
      <c r="D258" s="33">
        <v>5</v>
      </c>
      <c r="E258" s="34">
        <v>945</v>
      </c>
    </row>
    <row r="259" spans="1:5" ht="30">
      <c r="A259" s="40"/>
      <c r="B259" s="3" t="s">
        <v>424</v>
      </c>
      <c r="C259" s="3" t="s">
        <v>427</v>
      </c>
      <c r="D259" s="33">
        <v>4</v>
      </c>
      <c r="E259" s="34">
        <v>815</v>
      </c>
    </row>
    <row r="260" spans="1:5" ht="30">
      <c r="A260" s="40"/>
      <c r="B260" s="3" t="s">
        <v>431</v>
      </c>
      <c r="C260" s="3" t="s">
        <v>432</v>
      </c>
      <c r="D260" s="33">
        <v>1</v>
      </c>
      <c r="E260" s="34">
        <v>60</v>
      </c>
    </row>
    <row r="261" spans="1:5" ht="30">
      <c r="A261" s="40"/>
      <c r="B261" s="3" t="s">
        <v>435</v>
      </c>
      <c r="C261" s="3" t="s">
        <v>436</v>
      </c>
      <c r="D261" s="33">
        <v>5</v>
      </c>
      <c r="E261" s="34">
        <v>541</v>
      </c>
    </row>
    <row r="262" spans="1:5" ht="30">
      <c r="A262" s="2" t="s">
        <v>456</v>
      </c>
      <c r="B262" s="3" t="s">
        <v>455</v>
      </c>
      <c r="C262" s="3" t="s">
        <v>457</v>
      </c>
      <c r="D262" s="33">
        <v>1</v>
      </c>
      <c r="E262" s="34">
        <v>94</v>
      </c>
    </row>
    <row r="263" spans="1:5" ht="30">
      <c r="A263" s="39" t="s">
        <v>251</v>
      </c>
      <c r="B263" s="3" t="s">
        <v>255</v>
      </c>
      <c r="C263" s="3" t="s">
        <v>256</v>
      </c>
      <c r="D263" s="33">
        <v>5</v>
      </c>
      <c r="E263" s="34">
        <v>810</v>
      </c>
    </row>
    <row r="264" spans="1:5">
      <c r="A264" s="40"/>
      <c r="B264" s="3" t="s">
        <v>264</v>
      </c>
      <c r="C264" s="3" t="s">
        <v>265</v>
      </c>
      <c r="D264" s="33">
        <v>3</v>
      </c>
      <c r="E264" s="34">
        <v>513</v>
      </c>
    </row>
    <row r="265" spans="1:5">
      <c r="A265" s="40"/>
      <c r="B265" s="3" t="s">
        <v>249</v>
      </c>
      <c r="C265" s="3" t="s">
        <v>252</v>
      </c>
      <c r="D265" s="33">
        <v>8</v>
      </c>
      <c r="E265" s="34">
        <v>1665</v>
      </c>
    </row>
    <row r="266" spans="1:5" ht="45">
      <c r="A266" s="40"/>
      <c r="B266" s="3" t="s">
        <v>260</v>
      </c>
      <c r="C266" s="3" t="s">
        <v>261</v>
      </c>
      <c r="D266" s="33">
        <v>6</v>
      </c>
      <c r="E266" s="34">
        <v>772</v>
      </c>
    </row>
    <row r="267" spans="1:5" ht="30">
      <c r="A267" s="40"/>
      <c r="B267" s="3" t="s">
        <v>253</v>
      </c>
      <c r="C267" s="3" t="s">
        <v>254</v>
      </c>
      <c r="D267" s="33">
        <v>6</v>
      </c>
      <c r="E267" s="34">
        <v>1082</v>
      </c>
    </row>
    <row r="268" spans="1:5">
      <c r="A268" s="2" t="s">
        <v>394</v>
      </c>
      <c r="B268" s="3" t="s">
        <v>393</v>
      </c>
      <c r="C268" s="3" t="s">
        <v>395</v>
      </c>
      <c r="D268" s="33">
        <v>1</v>
      </c>
      <c r="E268" s="34">
        <v>100</v>
      </c>
    </row>
    <row r="269" spans="1:5" ht="30">
      <c r="A269" s="39" t="s">
        <v>449</v>
      </c>
      <c r="B269" s="3" t="s">
        <v>447</v>
      </c>
      <c r="C269" s="3" t="s">
        <v>450</v>
      </c>
      <c r="D269" s="33">
        <v>3</v>
      </c>
      <c r="E269" s="34">
        <v>580</v>
      </c>
    </row>
    <row r="270" spans="1:5" ht="30">
      <c r="A270" s="40"/>
      <c r="B270" s="3" t="s">
        <v>451</v>
      </c>
      <c r="C270" s="3" t="s">
        <v>452</v>
      </c>
      <c r="D270" s="33">
        <v>4</v>
      </c>
      <c r="E270" s="34">
        <v>767</v>
      </c>
    </row>
    <row r="271" spans="1:5">
      <c r="A271" s="2" t="s">
        <v>40</v>
      </c>
      <c r="B271" s="3" t="s">
        <v>39</v>
      </c>
      <c r="C271" s="3" t="s">
        <v>41</v>
      </c>
      <c r="D271" s="33">
        <v>4</v>
      </c>
      <c r="E271" s="34">
        <v>614</v>
      </c>
    </row>
    <row r="272" spans="1:5">
      <c r="A272" s="2" t="s">
        <v>81</v>
      </c>
      <c r="B272" s="3" t="s">
        <v>80</v>
      </c>
      <c r="C272" s="3" t="s">
        <v>82</v>
      </c>
      <c r="D272" s="33">
        <v>3</v>
      </c>
      <c r="E272" s="34">
        <v>159</v>
      </c>
    </row>
    <row r="273" spans="1:5">
      <c r="A273" s="2" t="s">
        <v>376</v>
      </c>
      <c r="B273" s="3" t="s">
        <v>375</v>
      </c>
      <c r="C273" s="3" t="s">
        <v>377</v>
      </c>
      <c r="D273" s="33">
        <v>4</v>
      </c>
      <c r="E273" s="34">
        <v>400</v>
      </c>
    </row>
    <row r="274" spans="1:5" ht="30">
      <c r="A274" s="2" t="s">
        <v>496</v>
      </c>
      <c r="B274" s="3" t="s">
        <v>494</v>
      </c>
      <c r="C274" s="3" t="s">
        <v>497</v>
      </c>
      <c r="D274" s="33">
        <v>1</v>
      </c>
      <c r="E274" s="34">
        <v>138</v>
      </c>
    </row>
    <row r="275" spans="1:5">
      <c r="A275" s="2" t="s">
        <v>788</v>
      </c>
      <c r="B275" s="3" t="s">
        <v>787</v>
      </c>
      <c r="C275" s="3" t="s">
        <v>789</v>
      </c>
      <c r="D275" s="33">
        <v>1</v>
      </c>
      <c r="E275" s="34">
        <v>60</v>
      </c>
    </row>
    <row r="276" spans="1:5" ht="60">
      <c r="A276" s="2" t="s">
        <v>86</v>
      </c>
      <c r="B276" s="3" t="s">
        <v>85</v>
      </c>
      <c r="C276" s="3" t="s">
        <v>87</v>
      </c>
      <c r="D276" s="33">
        <v>5</v>
      </c>
      <c r="E276" s="34">
        <v>550</v>
      </c>
    </row>
    <row r="277" spans="1:5">
      <c r="A277" s="2" t="s">
        <v>486</v>
      </c>
      <c r="B277" s="3" t="s">
        <v>485</v>
      </c>
      <c r="C277" s="3" t="s">
        <v>487</v>
      </c>
      <c r="D277" s="33">
        <v>1</v>
      </c>
      <c r="E277" s="34">
        <v>126</v>
      </c>
    </row>
    <row r="278" spans="1:5">
      <c r="A278" s="4" t="s">
        <v>269</v>
      </c>
      <c r="B278" s="5" t="s">
        <v>268</v>
      </c>
      <c r="C278" s="5" t="s">
        <v>270</v>
      </c>
      <c r="D278" s="35">
        <v>2</v>
      </c>
      <c r="E278" s="36">
        <v>160</v>
      </c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</sheetData>
  <mergeCells count="41">
    <mergeCell ref="A233:A234"/>
    <mergeCell ref="A237:A239"/>
    <mergeCell ref="A241:A242"/>
    <mergeCell ref="A243:A246"/>
    <mergeCell ref="A248:A249"/>
    <mergeCell ref="A250:A251"/>
    <mergeCell ref="A253:A255"/>
    <mergeCell ref="A257:A261"/>
    <mergeCell ref="A263:A267"/>
    <mergeCell ref="A269:A270"/>
    <mergeCell ref="A210:A214"/>
    <mergeCell ref="A216:A217"/>
    <mergeCell ref="A218:A219"/>
    <mergeCell ref="A226:A228"/>
    <mergeCell ref="A231:A232"/>
    <mergeCell ref="A191:A193"/>
    <mergeCell ref="A194:A196"/>
    <mergeCell ref="A197:A201"/>
    <mergeCell ref="A204:A205"/>
    <mergeCell ref="A207:A209"/>
    <mergeCell ref="A187:A188"/>
    <mergeCell ref="A118:A119"/>
    <mergeCell ref="A120:A122"/>
    <mergeCell ref="A124:A125"/>
    <mergeCell ref="A127:A129"/>
    <mergeCell ref="A133:A134"/>
    <mergeCell ref="A136:A137"/>
    <mergeCell ref="A143:A146"/>
    <mergeCell ref="A151:A152"/>
    <mergeCell ref="A159:A164"/>
    <mergeCell ref="A165:A186"/>
    <mergeCell ref="A33:A87"/>
    <mergeCell ref="A88:A91"/>
    <mergeCell ref="A93:A107"/>
    <mergeCell ref="A108:A112"/>
    <mergeCell ref="A113:A114"/>
    <mergeCell ref="A14:A15"/>
    <mergeCell ref="A16:A19"/>
    <mergeCell ref="A20:A21"/>
    <mergeCell ref="A22:A30"/>
    <mergeCell ref="A31:A3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4BD1-2CE8-4E19-9942-B00E6C6B34BA}">
  <dimension ref="A10:F281"/>
  <sheetViews>
    <sheetView showGridLines="0" zoomScale="70" zoomScaleNormal="70" workbookViewId="0">
      <pane ySplit="10" topLeftCell="A11" activePane="bottomLeft" state="frozen"/>
      <selection pane="bottomLeft" activeCell="A10" sqref="A10"/>
      <selection activeCell="A2" sqref="A2"/>
    </sheetView>
  </sheetViews>
  <sheetFormatPr defaultColWidth="11.5703125" defaultRowHeight="15"/>
  <cols>
    <col min="1" max="1" width="37.28515625" style="6" customWidth="1"/>
    <col min="2" max="2" width="27" style="7" customWidth="1"/>
    <col min="3" max="3" width="22.28515625" style="1" customWidth="1"/>
    <col min="4" max="4" width="32.7109375" style="1" customWidth="1"/>
    <col min="5" max="5" width="12.5703125" style="1" customWidth="1"/>
    <col min="6" max="6" width="16.28515625" style="1" customWidth="1"/>
    <col min="7" max="16384" width="11.5703125" style="1"/>
  </cols>
  <sheetData>
    <row r="10" spans="1:6" ht="30">
      <c r="A10" s="16" t="s">
        <v>5</v>
      </c>
      <c r="B10" s="17" t="s">
        <v>2</v>
      </c>
      <c r="C10" s="17" t="s">
        <v>3</v>
      </c>
      <c r="D10" s="17" t="s">
        <v>6</v>
      </c>
      <c r="E10" s="17" t="s">
        <v>793</v>
      </c>
      <c r="F10" s="18" t="s">
        <v>794</v>
      </c>
    </row>
    <row r="11" spans="1:6">
      <c r="A11" s="2" t="s">
        <v>273</v>
      </c>
      <c r="B11" s="3" t="s">
        <v>271</v>
      </c>
      <c r="C11" s="3" t="s">
        <v>272</v>
      </c>
      <c r="D11" s="3" t="s">
        <v>274</v>
      </c>
      <c r="E11" s="33">
        <v>2</v>
      </c>
      <c r="F11" s="34">
        <v>246</v>
      </c>
    </row>
    <row r="12" spans="1:6" ht="30">
      <c r="A12" s="2" t="s">
        <v>391</v>
      </c>
      <c r="B12" s="3" t="s">
        <v>385</v>
      </c>
      <c r="C12" s="3" t="s">
        <v>390</v>
      </c>
      <c r="D12" s="3" t="s">
        <v>392</v>
      </c>
      <c r="E12" s="33">
        <v>1</v>
      </c>
      <c r="F12" s="34">
        <v>120</v>
      </c>
    </row>
    <row r="13" spans="1:6" ht="30">
      <c r="A13" s="2" t="s">
        <v>439</v>
      </c>
      <c r="B13" s="3" t="s">
        <v>438</v>
      </c>
      <c r="C13" s="3" t="s">
        <v>438</v>
      </c>
      <c r="D13" s="3" t="s">
        <v>440</v>
      </c>
      <c r="E13" s="33">
        <v>2</v>
      </c>
      <c r="F13" s="34">
        <v>222</v>
      </c>
    </row>
    <row r="14" spans="1:6">
      <c r="A14" s="2" t="s">
        <v>460</v>
      </c>
      <c r="B14" s="3" t="s">
        <v>459</v>
      </c>
      <c r="C14" s="3" t="s">
        <v>459</v>
      </c>
      <c r="D14" s="3" t="s">
        <v>461</v>
      </c>
      <c r="E14" s="33">
        <v>1</v>
      </c>
      <c r="F14" s="34">
        <v>94</v>
      </c>
    </row>
    <row r="15" spans="1:6" ht="30">
      <c r="A15" s="39" t="s">
        <v>766</v>
      </c>
      <c r="B15" s="3" t="s">
        <v>293</v>
      </c>
      <c r="C15" s="3" t="s">
        <v>765</v>
      </c>
      <c r="D15" s="3" t="s">
        <v>767</v>
      </c>
      <c r="E15" s="33">
        <v>5</v>
      </c>
      <c r="F15" s="34">
        <v>987</v>
      </c>
    </row>
    <row r="16" spans="1:6">
      <c r="A16" s="40"/>
      <c r="B16" s="3" t="s">
        <v>131</v>
      </c>
      <c r="C16" s="3" t="s">
        <v>774</v>
      </c>
      <c r="D16" s="3" t="s">
        <v>775</v>
      </c>
      <c r="E16" s="33">
        <v>3</v>
      </c>
      <c r="F16" s="34">
        <v>505</v>
      </c>
    </row>
    <row r="17" spans="1:6" ht="30">
      <c r="A17" s="39" t="s">
        <v>193</v>
      </c>
      <c r="B17" s="3" t="s">
        <v>11</v>
      </c>
      <c r="C17" s="3" t="s">
        <v>191</v>
      </c>
      <c r="D17" s="3" t="s">
        <v>194</v>
      </c>
      <c r="E17" s="33">
        <v>4</v>
      </c>
      <c r="F17" s="34">
        <v>848</v>
      </c>
    </row>
    <row r="18" spans="1:6" ht="30">
      <c r="A18" s="40"/>
      <c r="B18" s="3" t="s">
        <v>57</v>
      </c>
      <c r="C18" s="3" t="s">
        <v>204</v>
      </c>
      <c r="D18" s="3" t="s">
        <v>205</v>
      </c>
      <c r="E18" s="33">
        <v>6</v>
      </c>
      <c r="F18" s="34">
        <v>1230</v>
      </c>
    </row>
    <row r="19" spans="1:6">
      <c r="A19" s="40"/>
      <c r="B19" s="41" t="s">
        <v>32</v>
      </c>
      <c r="C19" s="3" t="s">
        <v>200</v>
      </c>
      <c r="D19" s="3" t="s">
        <v>201</v>
      </c>
      <c r="E19" s="33">
        <v>4</v>
      </c>
      <c r="F19" s="34">
        <v>584</v>
      </c>
    </row>
    <row r="20" spans="1:6">
      <c r="A20" s="40"/>
      <c r="B20" s="42"/>
      <c r="C20" s="3" t="s">
        <v>202</v>
      </c>
      <c r="D20" s="3" t="s">
        <v>203</v>
      </c>
      <c r="E20" s="33">
        <v>6</v>
      </c>
      <c r="F20" s="34">
        <v>899</v>
      </c>
    </row>
    <row r="21" spans="1:6">
      <c r="A21" s="39" t="s">
        <v>151</v>
      </c>
      <c r="B21" s="3" t="s">
        <v>71</v>
      </c>
      <c r="C21" s="3" t="s">
        <v>165</v>
      </c>
      <c r="D21" s="3" t="s">
        <v>166</v>
      </c>
      <c r="E21" s="33">
        <v>6</v>
      </c>
      <c r="F21" s="34">
        <v>712</v>
      </c>
    </row>
    <row r="22" spans="1:6" ht="30">
      <c r="A22" s="40"/>
      <c r="B22" s="3" t="s">
        <v>149</v>
      </c>
      <c r="C22" s="3" t="s">
        <v>150</v>
      </c>
      <c r="D22" s="3" t="s">
        <v>152</v>
      </c>
      <c r="E22" s="33">
        <v>4</v>
      </c>
      <c r="F22" s="34">
        <v>576</v>
      </c>
    </row>
    <row r="23" spans="1:6">
      <c r="A23" s="39" t="s">
        <v>666</v>
      </c>
      <c r="B23" s="41" t="s">
        <v>11</v>
      </c>
      <c r="C23" s="3" t="s">
        <v>664</v>
      </c>
      <c r="D23" s="3" t="s">
        <v>667</v>
      </c>
      <c r="E23" s="33">
        <v>8</v>
      </c>
      <c r="F23" s="34">
        <v>1614</v>
      </c>
    </row>
    <row r="24" spans="1:6">
      <c r="A24" s="40"/>
      <c r="B24" s="42"/>
      <c r="C24" s="3" t="s">
        <v>668</v>
      </c>
      <c r="D24" s="3" t="s">
        <v>669</v>
      </c>
      <c r="E24" s="33">
        <v>5</v>
      </c>
      <c r="F24" s="34">
        <v>836</v>
      </c>
    </row>
    <row r="25" spans="1:6">
      <c r="A25" s="40"/>
      <c r="B25" s="3" t="s">
        <v>671</v>
      </c>
      <c r="C25" s="3" t="s">
        <v>672</v>
      </c>
      <c r="D25" s="3" t="s">
        <v>673</v>
      </c>
      <c r="E25" s="33">
        <v>1</v>
      </c>
      <c r="F25" s="34">
        <v>70</v>
      </c>
    </row>
    <row r="26" spans="1:6" ht="30">
      <c r="A26" s="40"/>
      <c r="B26" s="3" t="s">
        <v>71</v>
      </c>
      <c r="C26" s="3" t="s">
        <v>689</v>
      </c>
      <c r="D26" s="3" t="s">
        <v>690</v>
      </c>
      <c r="E26" s="33">
        <v>5</v>
      </c>
      <c r="F26" s="34">
        <v>410</v>
      </c>
    </row>
    <row r="27" spans="1:6" ht="30">
      <c r="A27" s="40"/>
      <c r="B27" s="41" t="s">
        <v>32</v>
      </c>
      <c r="C27" s="3" t="s">
        <v>693</v>
      </c>
      <c r="D27" s="3" t="s">
        <v>694</v>
      </c>
      <c r="E27" s="33">
        <v>7</v>
      </c>
      <c r="F27" s="34">
        <v>1208</v>
      </c>
    </row>
    <row r="28" spans="1:6" ht="30">
      <c r="A28" s="40"/>
      <c r="B28" s="42"/>
      <c r="C28" s="3" t="s">
        <v>678</v>
      </c>
      <c r="D28" s="3" t="s">
        <v>679</v>
      </c>
      <c r="E28" s="33">
        <v>8</v>
      </c>
      <c r="F28" s="34">
        <v>1387</v>
      </c>
    </row>
    <row r="29" spans="1:6">
      <c r="A29" s="40"/>
      <c r="B29" s="42"/>
      <c r="C29" s="3" t="s">
        <v>680</v>
      </c>
      <c r="D29" s="3" t="s">
        <v>681</v>
      </c>
      <c r="E29" s="33">
        <v>2</v>
      </c>
      <c r="F29" s="34">
        <v>303</v>
      </c>
    </row>
    <row r="30" spans="1:6" ht="30">
      <c r="A30" s="40"/>
      <c r="B30" s="42"/>
      <c r="C30" s="3" t="s">
        <v>682</v>
      </c>
      <c r="D30" s="3" t="s">
        <v>683</v>
      </c>
      <c r="E30" s="33">
        <v>7</v>
      </c>
      <c r="F30" s="34">
        <v>1212</v>
      </c>
    </row>
    <row r="31" spans="1:6" ht="30">
      <c r="A31" s="40"/>
      <c r="B31" s="42"/>
      <c r="C31" s="3" t="s">
        <v>684</v>
      </c>
      <c r="D31" s="3" t="s">
        <v>685</v>
      </c>
      <c r="E31" s="33">
        <v>7</v>
      </c>
      <c r="F31" s="34">
        <v>1684</v>
      </c>
    </row>
    <row r="32" spans="1:6" ht="30">
      <c r="A32" s="39" t="s">
        <v>751</v>
      </c>
      <c r="B32" s="3" t="s">
        <v>744</v>
      </c>
      <c r="C32" s="3" t="s">
        <v>750</v>
      </c>
      <c r="D32" s="3" t="s">
        <v>752</v>
      </c>
      <c r="E32" s="33">
        <v>7</v>
      </c>
      <c r="F32" s="34">
        <v>1164</v>
      </c>
    </row>
    <row r="33" spans="1:6">
      <c r="A33" s="40"/>
      <c r="B33" s="3" t="s">
        <v>131</v>
      </c>
      <c r="C33" s="3" t="s">
        <v>776</v>
      </c>
      <c r="D33" s="3" t="s">
        <v>777</v>
      </c>
      <c r="E33" s="33">
        <v>4</v>
      </c>
      <c r="F33" s="34">
        <v>594</v>
      </c>
    </row>
    <row r="34" spans="1:6">
      <c r="A34" s="39" t="s">
        <v>544</v>
      </c>
      <c r="B34" s="41" t="s">
        <v>11</v>
      </c>
      <c r="C34" s="3" t="s">
        <v>546</v>
      </c>
      <c r="D34" s="3" t="s">
        <v>547</v>
      </c>
      <c r="E34" s="33">
        <v>6</v>
      </c>
      <c r="F34" s="34">
        <v>862</v>
      </c>
    </row>
    <row r="35" spans="1:6">
      <c r="A35" s="40"/>
      <c r="B35" s="42"/>
      <c r="C35" s="3" t="s">
        <v>548</v>
      </c>
      <c r="D35" s="3" t="s">
        <v>549</v>
      </c>
      <c r="E35" s="33">
        <v>4</v>
      </c>
      <c r="F35" s="34">
        <v>503</v>
      </c>
    </row>
    <row r="36" spans="1:6">
      <c r="A36" s="40"/>
      <c r="B36" s="42"/>
      <c r="C36" s="3" t="s">
        <v>552</v>
      </c>
      <c r="D36" s="3" t="s">
        <v>553</v>
      </c>
      <c r="E36" s="33">
        <v>12</v>
      </c>
      <c r="F36" s="34">
        <v>3450</v>
      </c>
    </row>
    <row r="37" spans="1:6">
      <c r="A37" s="40"/>
      <c r="B37" s="42"/>
      <c r="C37" s="3" t="s">
        <v>574</v>
      </c>
      <c r="D37" s="3" t="s">
        <v>575</v>
      </c>
      <c r="E37" s="33">
        <v>3</v>
      </c>
      <c r="F37" s="34">
        <v>544</v>
      </c>
    </row>
    <row r="38" spans="1:6">
      <c r="A38" s="40"/>
      <c r="B38" s="42"/>
      <c r="C38" s="3" t="s">
        <v>558</v>
      </c>
      <c r="D38" s="3" t="s">
        <v>559</v>
      </c>
      <c r="E38" s="33">
        <v>14</v>
      </c>
      <c r="F38" s="34">
        <v>2774</v>
      </c>
    </row>
    <row r="39" spans="1:6">
      <c r="A39" s="40"/>
      <c r="B39" s="42"/>
      <c r="C39" s="3" t="s">
        <v>576</v>
      </c>
      <c r="D39" s="3" t="s">
        <v>577</v>
      </c>
      <c r="E39" s="33">
        <v>4</v>
      </c>
      <c r="F39" s="34">
        <v>422</v>
      </c>
    </row>
    <row r="40" spans="1:6">
      <c r="A40" s="40"/>
      <c r="B40" s="42"/>
      <c r="C40" s="3" t="s">
        <v>570</v>
      </c>
      <c r="D40" s="3" t="s">
        <v>571</v>
      </c>
      <c r="E40" s="33">
        <v>8</v>
      </c>
      <c r="F40" s="34">
        <v>1723</v>
      </c>
    </row>
    <row r="41" spans="1:6" ht="30">
      <c r="A41" s="40"/>
      <c r="B41" s="42"/>
      <c r="C41" s="3" t="s">
        <v>578</v>
      </c>
      <c r="D41" s="3" t="s">
        <v>579</v>
      </c>
      <c r="E41" s="33">
        <v>8</v>
      </c>
      <c r="F41" s="34">
        <v>1398</v>
      </c>
    </row>
    <row r="42" spans="1:6">
      <c r="A42" s="40"/>
      <c r="B42" s="42"/>
      <c r="C42" s="3" t="s">
        <v>564</v>
      </c>
      <c r="D42" s="3" t="s">
        <v>565</v>
      </c>
      <c r="E42" s="33">
        <v>8</v>
      </c>
      <c r="F42" s="34">
        <v>1682</v>
      </c>
    </row>
    <row r="43" spans="1:6">
      <c r="A43" s="40"/>
      <c r="B43" s="42"/>
      <c r="C43" s="3" t="s">
        <v>556</v>
      </c>
      <c r="D43" s="3" t="s">
        <v>557</v>
      </c>
      <c r="E43" s="33">
        <v>12</v>
      </c>
      <c r="F43" s="34">
        <v>2842</v>
      </c>
    </row>
    <row r="44" spans="1:6" ht="30">
      <c r="A44" s="40"/>
      <c r="B44" s="42"/>
      <c r="C44" s="3" t="s">
        <v>562</v>
      </c>
      <c r="D44" s="3" t="s">
        <v>563</v>
      </c>
      <c r="E44" s="33">
        <v>10</v>
      </c>
      <c r="F44" s="34">
        <v>1868</v>
      </c>
    </row>
    <row r="45" spans="1:6">
      <c r="A45" s="40"/>
      <c r="B45" s="42"/>
      <c r="C45" s="3" t="s">
        <v>560</v>
      </c>
      <c r="D45" s="3" t="s">
        <v>561</v>
      </c>
      <c r="E45" s="33">
        <v>9</v>
      </c>
      <c r="F45" s="34">
        <v>1730</v>
      </c>
    </row>
    <row r="46" spans="1:6">
      <c r="A46" s="40"/>
      <c r="B46" s="42"/>
      <c r="C46" s="3" t="s">
        <v>550</v>
      </c>
      <c r="D46" s="3" t="s">
        <v>551</v>
      </c>
      <c r="E46" s="33">
        <v>4</v>
      </c>
      <c r="F46" s="34">
        <v>678</v>
      </c>
    </row>
    <row r="47" spans="1:6">
      <c r="A47" s="40"/>
      <c r="B47" s="42"/>
      <c r="C47" s="3" t="s">
        <v>554</v>
      </c>
      <c r="D47" s="3" t="s">
        <v>555</v>
      </c>
      <c r="E47" s="33">
        <v>8</v>
      </c>
      <c r="F47" s="34">
        <v>1516</v>
      </c>
    </row>
    <row r="48" spans="1:6">
      <c r="A48" s="40"/>
      <c r="B48" s="42"/>
      <c r="C48" s="3" t="s">
        <v>566</v>
      </c>
      <c r="D48" s="3" t="s">
        <v>567</v>
      </c>
      <c r="E48" s="33">
        <v>7</v>
      </c>
      <c r="F48" s="34">
        <v>1541</v>
      </c>
    </row>
    <row r="49" spans="1:6">
      <c r="A49" s="40"/>
      <c r="B49" s="42"/>
      <c r="C49" s="3" t="s">
        <v>568</v>
      </c>
      <c r="D49" s="3" t="s">
        <v>569</v>
      </c>
      <c r="E49" s="33">
        <v>6</v>
      </c>
      <c r="F49" s="34">
        <v>1244</v>
      </c>
    </row>
    <row r="50" spans="1:6">
      <c r="A50" s="40"/>
      <c r="B50" s="42"/>
      <c r="C50" s="3" t="s">
        <v>572</v>
      </c>
      <c r="D50" s="3" t="s">
        <v>573</v>
      </c>
      <c r="E50" s="33">
        <v>6</v>
      </c>
      <c r="F50" s="34">
        <v>1290</v>
      </c>
    </row>
    <row r="51" spans="1:6">
      <c r="A51" s="40"/>
      <c r="B51" s="42"/>
      <c r="C51" s="3" t="s">
        <v>580</v>
      </c>
      <c r="D51" s="3" t="s">
        <v>581</v>
      </c>
      <c r="E51" s="33">
        <v>7</v>
      </c>
      <c r="F51" s="34">
        <v>670</v>
      </c>
    </row>
    <row r="52" spans="1:6" ht="30">
      <c r="A52" s="40"/>
      <c r="B52" s="3" t="s">
        <v>28</v>
      </c>
      <c r="C52" s="3" t="s">
        <v>586</v>
      </c>
      <c r="D52" s="3" t="s">
        <v>587</v>
      </c>
      <c r="E52" s="33">
        <v>1</v>
      </c>
      <c r="F52" s="34">
        <v>105</v>
      </c>
    </row>
    <row r="53" spans="1:6">
      <c r="A53" s="40"/>
      <c r="B53" s="3" t="s">
        <v>624</v>
      </c>
      <c r="C53" s="3" t="s">
        <v>624</v>
      </c>
      <c r="D53" s="3" t="s">
        <v>625</v>
      </c>
      <c r="E53" s="33">
        <v>4</v>
      </c>
      <c r="F53" s="34">
        <v>320</v>
      </c>
    </row>
    <row r="54" spans="1:6" ht="30">
      <c r="A54" s="40"/>
      <c r="B54" s="41" t="s">
        <v>57</v>
      </c>
      <c r="C54" s="3" t="s">
        <v>626</v>
      </c>
      <c r="D54" s="3" t="s">
        <v>627</v>
      </c>
      <c r="E54" s="33">
        <v>6</v>
      </c>
      <c r="F54" s="34">
        <v>390</v>
      </c>
    </row>
    <row r="55" spans="1:6" ht="30">
      <c r="A55" s="40"/>
      <c r="B55" s="42"/>
      <c r="C55" s="3" t="s">
        <v>628</v>
      </c>
      <c r="D55" s="3" t="s">
        <v>629</v>
      </c>
      <c r="E55" s="33">
        <v>6</v>
      </c>
      <c r="F55" s="34">
        <v>1581</v>
      </c>
    </row>
    <row r="56" spans="1:6" ht="30">
      <c r="A56" s="40"/>
      <c r="B56" s="42"/>
      <c r="C56" s="3" t="s">
        <v>630</v>
      </c>
      <c r="D56" s="3" t="s">
        <v>631</v>
      </c>
      <c r="E56" s="33">
        <v>5</v>
      </c>
      <c r="F56" s="34">
        <v>1436</v>
      </c>
    </row>
    <row r="57" spans="1:6" ht="30">
      <c r="A57" s="40"/>
      <c r="B57" s="42"/>
      <c r="C57" s="3" t="s">
        <v>632</v>
      </c>
      <c r="D57" s="3" t="s">
        <v>633</v>
      </c>
      <c r="E57" s="33">
        <v>9</v>
      </c>
      <c r="F57" s="34">
        <v>2094</v>
      </c>
    </row>
    <row r="58" spans="1:6" ht="30">
      <c r="A58" s="40"/>
      <c r="B58" s="42"/>
      <c r="C58" s="3" t="s">
        <v>634</v>
      </c>
      <c r="D58" s="3" t="s">
        <v>635</v>
      </c>
      <c r="E58" s="33">
        <v>4</v>
      </c>
      <c r="F58" s="34">
        <v>702</v>
      </c>
    </row>
    <row r="59" spans="1:6" ht="30">
      <c r="A59" s="40"/>
      <c r="B59" s="42"/>
      <c r="C59" s="3" t="s">
        <v>636</v>
      </c>
      <c r="D59" s="3" t="s">
        <v>637</v>
      </c>
      <c r="E59" s="33">
        <v>8</v>
      </c>
      <c r="F59" s="34">
        <v>939</v>
      </c>
    </row>
    <row r="60" spans="1:6" ht="30">
      <c r="A60" s="40"/>
      <c r="B60" s="42"/>
      <c r="C60" s="3" t="s">
        <v>638</v>
      </c>
      <c r="D60" s="3" t="s">
        <v>639</v>
      </c>
      <c r="E60" s="33">
        <v>9</v>
      </c>
      <c r="F60" s="34">
        <v>1191</v>
      </c>
    </row>
    <row r="61" spans="1:6" ht="30">
      <c r="A61" s="40"/>
      <c r="B61" s="42"/>
      <c r="C61" s="3" t="s">
        <v>640</v>
      </c>
      <c r="D61" s="3" t="s">
        <v>641</v>
      </c>
      <c r="E61" s="33">
        <v>6</v>
      </c>
      <c r="F61" s="34">
        <v>1556</v>
      </c>
    </row>
    <row r="62" spans="1:6">
      <c r="A62" s="40"/>
      <c r="B62" s="41" t="s">
        <v>589</v>
      </c>
      <c r="C62" s="3" t="s">
        <v>589</v>
      </c>
      <c r="D62" s="3" t="s">
        <v>590</v>
      </c>
      <c r="E62" s="33">
        <v>3</v>
      </c>
      <c r="F62" s="34">
        <v>421</v>
      </c>
    </row>
    <row r="63" spans="1:6" ht="45">
      <c r="A63" s="40"/>
      <c r="B63" s="42"/>
      <c r="C63" s="3" t="s">
        <v>591</v>
      </c>
      <c r="D63" s="3" t="s">
        <v>592</v>
      </c>
      <c r="E63" s="33">
        <v>1</v>
      </c>
      <c r="F63" s="34">
        <v>95</v>
      </c>
    </row>
    <row r="64" spans="1:6" ht="30">
      <c r="A64" s="40"/>
      <c r="B64" s="42"/>
      <c r="C64" s="3" t="s">
        <v>593</v>
      </c>
      <c r="D64" s="3" t="s">
        <v>594</v>
      </c>
      <c r="E64" s="33">
        <v>1</v>
      </c>
      <c r="F64" s="34">
        <v>100</v>
      </c>
    </row>
    <row r="65" spans="1:6" ht="30">
      <c r="A65" s="40"/>
      <c r="B65" s="41" t="s">
        <v>71</v>
      </c>
      <c r="C65" s="3" t="s">
        <v>646</v>
      </c>
      <c r="D65" s="3" t="s">
        <v>647</v>
      </c>
      <c r="E65" s="33">
        <v>8</v>
      </c>
      <c r="F65" s="34">
        <v>1213</v>
      </c>
    </row>
    <row r="66" spans="1:6">
      <c r="A66" s="40"/>
      <c r="B66" s="42"/>
      <c r="C66" s="3" t="s">
        <v>648</v>
      </c>
      <c r="D66" s="3" t="s">
        <v>649</v>
      </c>
      <c r="E66" s="33">
        <v>9</v>
      </c>
      <c r="F66" s="34">
        <v>1353</v>
      </c>
    </row>
    <row r="67" spans="1:6">
      <c r="A67" s="40"/>
      <c r="B67" s="42"/>
      <c r="C67" s="3" t="s">
        <v>650</v>
      </c>
      <c r="D67" s="3" t="s">
        <v>651</v>
      </c>
      <c r="E67" s="33">
        <v>9</v>
      </c>
      <c r="F67" s="34">
        <v>1551</v>
      </c>
    </row>
    <row r="68" spans="1:6">
      <c r="A68" s="40"/>
      <c r="B68" s="42"/>
      <c r="C68" s="3" t="s">
        <v>652</v>
      </c>
      <c r="D68" s="3" t="s">
        <v>653</v>
      </c>
      <c r="E68" s="33">
        <v>7</v>
      </c>
      <c r="F68" s="34">
        <v>559</v>
      </c>
    </row>
    <row r="69" spans="1:6" ht="60">
      <c r="A69" s="40"/>
      <c r="B69" s="3" t="s">
        <v>583</v>
      </c>
      <c r="C69" s="3" t="s">
        <v>584</v>
      </c>
      <c r="D69" s="3" t="s">
        <v>585</v>
      </c>
      <c r="E69" s="33">
        <v>2</v>
      </c>
      <c r="F69" s="34">
        <v>483</v>
      </c>
    </row>
    <row r="70" spans="1:6">
      <c r="A70" s="40"/>
      <c r="B70" s="41" t="s">
        <v>149</v>
      </c>
      <c r="C70" s="3" t="s">
        <v>603</v>
      </c>
      <c r="D70" s="3" t="s">
        <v>604</v>
      </c>
      <c r="E70" s="33">
        <v>10</v>
      </c>
      <c r="F70" s="34">
        <v>1499</v>
      </c>
    </row>
    <row r="71" spans="1:6">
      <c r="A71" s="40"/>
      <c r="B71" s="42"/>
      <c r="C71" s="3" t="s">
        <v>605</v>
      </c>
      <c r="D71" s="3" t="s">
        <v>606</v>
      </c>
      <c r="E71" s="33">
        <v>5</v>
      </c>
      <c r="F71" s="34">
        <v>554</v>
      </c>
    </row>
    <row r="72" spans="1:6">
      <c r="A72" s="40"/>
      <c r="B72" s="42"/>
      <c r="C72" s="3" t="s">
        <v>607</v>
      </c>
      <c r="D72" s="3" t="s">
        <v>608</v>
      </c>
      <c r="E72" s="33">
        <v>2</v>
      </c>
      <c r="F72" s="34">
        <v>797</v>
      </c>
    </row>
    <row r="73" spans="1:6">
      <c r="A73" s="40"/>
      <c r="B73" s="42"/>
      <c r="C73" s="3" t="s">
        <v>609</v>
      </c>
      <c r="D73" s="3" t="s">
        <v>610</v>
      </c>
      <c r="E73" s="33">
        <v>5</v>
      </c>
      <c r="F73" s="34">
        <v>616</v>
      </c>
    </row>
    <row r="74" spans="1:6" ht="30">
      <c r="A74" s="40"/>
      <c r="B74" s="42"/>
      <c r="C74" s="3" t="s">
        <v>611</v>
      </c>
      <c r="D74" s="3" t="s">
        <v>612</v>
      </c>
      <c r="E74" s="33">
        <v>8</v>
      </c>
      <c r="F74" s="34">
        <v>650</v>
      </c>
    </row>
    <row r="75" spans="1:6">
      <c r="A75" s="40"/>
      <c r="B75" s="42"/>
      <c r="C75" s="3" t="s">
        <v>613</v>
      </c>
      <c r="D75" s="3" t="s">
        <v>614</v>
      </c>
      <c r="E75" s="33">
        <v>8</v>
      </c>
      <c r="F75" s="34">
        <v>1076</v>
      </c>
    </row>
    <row r="76" spans="1:6">
      <c r="A76" s="40"/>
      <c r="B76" s="42"/>
      <c r="C76" s="3" t="s">
        <v>615</v>
      </c>
      <c r="D76" s="3" t="s">
        <v>616</v>
      </c>
      <c r="E76" s="33">
        <v>3</v>
      </c>
      <c r="F76" s="34">
        <v>505</v>
      </c>
    </row>
    <row r="77" spans="1:6">
      <c r="A77" s="40"/>
      <c r="B77" s="42"/>
      <c r="C77" s="3" t="s">
        <v>617</v>
      </c>
      <c r="D77" s="3" t="s">
        <v>618</v>
      </c>
      <c r="E77" s="33">
        <v>2</v>
      </c>
      <c r="F77" s="34">
        <v>760</v>
      </c>
    </row>
    <row r="78" spans="1:6" ht="30">
      <c r="A78" s="40"/>
      <c r="B78" s="42"/>
      <c r="C78" s="3" t="s">
        <v>619</v>
      </c>
      <c r="D78" s="3" t="s">
        <v>620</v>
      </c>
      <c r="E78" s="33">
        <v>6</v>
      </c>
      <c r="F78" s="34">
        <v>767</v>
      </c>
    </row>
    <row r="79" spans="1:6">
      <c r="A79" s="40"/>
      <c r="B79" s="42"/>
      <c r="C79" s="3" t="s">
        <v>621</v>
      </c>
      <c r="D79" s="3" t="s">
        <v>622</v>
      </c>
      <c r="E79" s="33">
        <v>1</v>
      </c>
      <c r="F79" s="34">
        <v>606</v>
      </c>
    </row>
    <row r="80" spans="1:6" ht="30">
      <c r="A80" s="40"/>
      <c r="B80" s="41" t="s">
        <v>32</v>
      </c>
      <c r="C80" s="3" t="s">
        <v>654</v>
      </c>
      <c r="D80" s="3" t="s">
        <v>655</v>
      </c>
      <c r="E80" s="33">
        <v>9</v>
      </c>
      <c r="F80" s="34">
        <v>1184</v>
      </c>
    </row>
    <row r="81" spans="1:6" ht="30">
      <c r="A81" s="40"/>
      <c r="B81" s="42"/>
      <c r="C81" s="3" t="s">
        <v>656</v>
      </c>
      <c r="D81" s="3" t="s">
        <v>657</v>
      </c>
      <c r="E81" s="33">
        <v>11</v>
      </c>
      <c r="F81" s="34">
        <v>2068</v>
      </c>
    </row>
    <row r="82" spans="1:6" ht="30">
      <c r="A82" s="40"/>
      <c r="B82" s="42"/>
      <c r="C82" s="3" t="s">
        <v>658</v>
      </c>
      <c r="D82" s="3" t="s">
        <v>659</v>
      </c>
      <c r="E82" s="33">
        <v>5</v>
      </c>
      <c r="F82" s="34">
        <v>735</v>
      </c>
    </row>
    <row r="83" spans="1:6" ht="30">
      <c r="A83" s="40"/>
      <c r="B83" s="42"/>
      <c r="C83" s="3" t="s">
        <v>595</v>
      </c>
      <c r="D83" s="3" t="s">
        <v>596</v>
      </c>
      <c r="E83" s="33">
        <v>6</v>
      </c>
      <c r="F83" s="34">
        <v>1282</v>
      </c>
    </row>
    <row r="84" spans="1:6">
      <c r="A84" s="40"/>
      <c r="B84" s="42"/>
      <c r="C84" s="3" t="s">
        <v>597</v>
      </c>
      <c r="D84" s="3" t="s">
        <v>598</v>
      </c>
      <c r="E84" s="33">
        <v>6</v>
      </c>
      <c r="F84" s="34">
        <v>800</v>
      </c>
    </row>
    <row r="85" spans="1:6">
      <c r="A85" s="40"/>
      <c r="B85" s="3" t="s">
        <v>661</v>
      </c>
      <c r="C85" s="3" t="s">
        <v>662</v>
      </c>
      <c r="D85" s="3" t="s">
        <v>663</v>
      </c>
      <c r="E85" s="33">
        <v>1</v>
      </c>
      <c r="F85" s="34">
        <v>25</v>
      </c>
    </row>
    <row r="86" spans="1:6">
      <c r="A86" s="40"/>
      <c r="B86" s="3" t="s">
        <v>543</v>
      </c>
      <c r="C86" s="3" t="s">
        <v>543</v>
      </c>
      <c r="D86" s="3" t="s">
        <v>545</v>
      </c>
      <c r="E86" s="33">
        <v>2</v>
      </c>
      <c r="F86" s="34">
        <v>110</v>
      </c>
    </row>
    <row r="87" spans="1:6" ht="30">
      <c r="A87" s="40"/>
      <c r="B87" s="3" t="s">
        <v>600</v>
      </c>
      <c r="C87" s="3" t="s">
        <v>601</v>
      </c>
      <c r="D87" s="3" t="s">
        <v>602</v>
      </c>
      <c r="E87" s="33">
        <v>1</v>
      </c>
      <c r="F87" s="34">
        <v>450</v>
      </c>
    </row>
    <row r="88" spans="1:6">
      <c r="A88" s="40"/>
      <c r="B88" s="3" t="s">
        <v>643</v>
      </c>
      <c r="C88" s="3" t="s">
        <v>644</v>
      </c>
      <c r="D88" s="3" t="s">
        <v>645</v>
      </c>
      <c r="E88" s="33">
        <v>9</v>
      </c>
      <c r="F88" s="34">
        <v>1337</v>
      </c>
    </row>
    <row r="89" spans="1:6">
      <c r="A89" s="39" t="s">
        <v>139</v>
      </c>
      <c r="B89" s="41" t="s">
        <v>11</v>
      </c>
      <c r="C89" s="3" t="s">
        <v>138</v>
      </c>
      <c r="D89" s="3" t="s">
        <v>140</v>
      </c>
      <c r="E89" s="33">
        <v>4</v>
      </c>
      <c r="F89" s="34">
        <v>479</v>
      </c>
    </row>
    <row r="90" spans="1:6">
      <c r="A90" s="40"/>
      <c r="B90" s="42"/>
      <c r="C90" s="3" t="s">
        <v>141</v>
      </c>
      <c r="D90" s="3" t="s">
        <v>142</v>
      </c>
      <c r="E90" s="33">
        <v>12</v>
      </c>
      <c r="F90" s="34">
        <v>2176</v>
      </c>
    </row>
    <row r="91" spans="1:6" ht="30">
      <c r="A91" s="40"/>
      <c r="B91" s="3" t="s">
        <v>57</v>
      </c>
      <c r="C91" s="3" t="s">
        <v>158</v>
      </c>
      <c r="D91" s="3" t="s">
        <v>159</v>
      </c>
      <c r="E91" s="33">
        <v>4</v>
      </c>
      <c r="F91" s="34">
        <v>783</v>
      </c>
    </row>
    <row r="92" spans="1:6">
      <c r="A92" s="40"/>
      <c r="B92" s="41" t="s">
        <v>32</v>
      </c>
      <c r="C92" s="3" t="s">
        <v>146</v>
      </c>
      <c r="D92" s="3" t="s">
        <v>147</v>
      </c>
      <c r="E92" s="33">
        <v>3</v>
      </c>
      <c r="F92" s="34">
        <v>680</v>
      </c>
    </row>
    <row r="93" spans="1:6" ht="30">
      <c r="A93" s="2" t="s">
        <v>52</v>
      </c>
      <c r="B93" s="42" t="s">
        <v>32</v>
      </c>
      <c r="C93" s="3" t="s">
        <v>51</v>
      </c>
      <c r="D93" s="3" t="s">
        <v>53</v>
      </c>
      <c r="E93" s="33">
        <v>4</v>
      </c>
      <c r="F93" s="34">
        <v>576</v>
      </c>
    </row>
    <row r="94" spans="1:6">
      <c r="A94" s="39" t="s">
        <v>14</v>
      </c>
      <c r="B94" s="41" t="s">
        <v>11</v>
      </c>
      <c r="C94" s="3" t="s">
        <v>12</v>
      </c>
      <c r="D94" s="3" t="s">
        <v>15</v>
      </c>
      <c r="E94" s="33">
        <v>10</v>
      </c>
      <c r="F94" s="34">
        <v>1726</v>
      </c>
    </row>
    <row r="95" spans="1:6">
      <c r="A95" s="40"/>
      <c r="B95" s="42"/>
      <c r="C95" s="3" t="s">
        <v>22</v>
      </c>
      <c r="D95" s="3" t="s">
        <v>23</v>
      </c>
      <c r="E95" s="33">
        <v>5</v>
      </c>
      <c r="F95" s="34">
        <v>1090</v>
      </c>
    </row>
    <row r="96" spans="1:6">
      <c r="A96" s="40"/>
      <c r="B96" s="42"/>
      <c r="C96" s="3" t="s">
        <v>16</v>
      </c>
      <c r="D96" s="3" t="s">
        <v>17</v>
      </c>
      <c r="E96" s="33">
        <v>12</v>
      </c>
      <c r="F96" s="34">
        <v>1818</v>
      </c>
    </row>
    <row r="97" spans="1:6" ht="30">
      <c r="A97" s="40"/>
      <c r="B97" s="42"/>
      <c r="C97" s="3" t="s">
        <v>18</v>
      </c>
      <c r="D97" s="3" t="s">
        <v>19</v>
      </c>
      <c r="E97" s="33">
        <v>6</v>
      </c>
      <c r="F97" s="34">
        <v>1153</v>
      </c>
    </row>
    <row r="98" spans="1:6">
      <c r="A98" s="40"/>
      <c r="B98" s="42"/>
      <c r="C98" s="3" t="s">
        <v>20</v>
      </c>
      <c r="D98" s="3" t="s">
        <v>21</v>
      </c>
      <c r="E98" s="33">
        <v>8</v>
      </c>
      <c r="F98" s="34">
        <v>1804</v>
      </c>
    </row>
    <row r="99" spans="1:6" ht="30">
      <c r="A99" s="40"/>
      <c r="B99" s="3" t="s">
        <v>28</v>
      </c>
      <c r="C99" s="3" t="s">
        <v>29</v>
      </c>
      <c r="D99" s="3" t="s">
        <v>30</v>
      </c>
      <c r="E99" s="33">
        <v>1</v>
      </c>
      <c r="F99" s="34">
        <v>108</v>
      </c>
    </row>
    <row r="100" spans="1:6">
      <c r="A100" s="40"/>
      <c r="B100" s="41" t="s">
        <v>57</v>
      </c>
      <c r="C100" s="3" t="s">
        <v>58</v>
      </c>
      <c r="D100" s="3" t="s">
        <v>59</v>
      </c>
      <c r="E100" s="33">
        <v>8</v>
      </c>
      <c r="F100" s="34">
        <v>1349</v>
      </c>
    </row>
    <row r="101" spans="1:6" ht="30">
      <c r="A101" s="40"/>
      <c r="B101" s="42"/>
      <c r="C101" s="3" t="s">
        <v>60</v>
      </c>
      <c r="D101" s="3" t="s">
        <v>61</v>
      </c>
      <c r="E101" s="33">
        <v>6</v>
      </c>
      <c r="F101" s="34">
        <v>890</v>
      </c>
    </row>
    <row r="102" spans="1:6" ht="30">
      <c r="A102" s="40"/>
      <c r="B102" s="3" t="s">
        <v>25</v>
      </c>
      <c r="C102" s="3" t="s">
        <v>25</v>
      </c>
      <c r="D102" s="3" t="s">
        <v>26</v>
      </c>
      <c r="E102" s="33">
        <v>1</v>
      </c>
      <c r="F102" s="34">
        <v>250</v>
      </c>
    </row>
    <row r="103" spans="1:6">
      <c r="A103" s="40"/>
      <c r="B103" s="3" t="s">
        <v>71</v>
      </c>
      <c r="C103" s="3" t="s">
        <v>72</v>
      </c>
      <c r="D103" s="3" t="s">
        <v>73</v>
      </c>
      <c r="E103" s="33">
        <v>14</v>
      </c>
      <c r="F103" s="34">
        <v>2076</v>
      </c>
    </row>
    <row r="104" spans="1:6">
      <c r="A104" s="40"/>
      <c r="B104" s="3" t="s">
        <v>68</v>
      </c>
      <c r="C104" s="3" t="s">
        <v>68</v>
      </c>
      <c r="D104" s="3" t="s">
        <v>69</v>
      </c>
      <c r="E104" s="33">
        <v>4</v>
      </c>
      <c r="F104" s="34">
        <v>519</v>
      </c>
    </row>
    <row r="105" spans="1:6" ht="30">
      <c r="A105" s="40"/>
      <c r="B105" s="41" t="s">
        <v>32</v>
      </c>
      <c r="C105" s="3" t="s">
        <v>75</v>
      </c>
      <c r="D105" s="3" t="s">
        <v>76</v>
      </c>
      <c r="E105" s="33">
        <v>7</v>
      </c>
      <c r="F105" s="34">
        <v>1230</v>
      </c>
    </row>
    <row r="106" spans="1:6" ht="30">
      <c r="A106" s="40"/>
      <c r="B106" s="42"/>
      <c r="C106" s="3" t="s">
        <v>42</v>
      </c>
      <c r="D106" s="3" t="s">
        <v>43</v>
      </c>
      <c r="E106" s="33">
        <v>8</v>
      </c>
      <c r="F106" s="34">
        <v>870</v>
      </c>
    </row>
    <row r="107" spans="1:6" ht="30">
      <c r="A107" s="40"/>
      <c r="B107" s="42"/>
      <c r="C107" s="3" t="s">
        <v>44</v>
      </c>
      <c r="D107" s="3" t="s">
        <v>45</v>
      </c>
      <c r="E107" s="33">
        <v>6</v>
      </c>
      <c r="F107" s="34">
        <v>675</v>
      </c>
    </row>
    <row r="108" spans="1:6">
      <c r="A108" s="40"/>
      <c r="B108" s="42"/>
      <c r="C108" s="3" t="s">
        <v>54</v>
      </c>
      <c r="D108" s="3" t="s">
        <v>55</v>
      </c>
      <c r="E108" s="33">
        <v>7</v>
      </c>
      <c r="F108" s="34">
        <v>1371</v>
      </c>
    </row>
    <row r="109" spans="1:6" ht="30">
      <c r="A109" s="39" t="s">
        <v>525</v>
      </c>
      <c r="B109" s="41" t="s">
        <v>11</v>
      </c>
      <c r="C109" s="3" t="s">
        <v>523</v>
      </c>
      <c r="D109" s="3" t="s">
        <v>526</v>
      </c>
      <c r="E109" s="33">
        <v>6</v>
      </c>
      <c r="F109" s="34">
        <v>882</v>
      </c>
    </row>
    <row r="110" spans="1:6" ht="30">
      <c r="A110" s="40"/>
      <c r="B110" s="42"/>
      <c r="C110" s="3" t="s">
        <v>527</v>
      </c>
      <c r="D110" s="3" t="s">
        <v>528</v>
      </c>
      <c r="E110" s="33">
        <v>4</v>
      </c>
      <c r="F110" s="34">
        <v>909</v>
      </c>
    </row>
    <row r="111" spans="1:6" ht="30">
      <c r="A111" s="40"/>
      <c r="B111" s="42"/>
      <c r="C111" s="3" t="s">
        <v>529</v>
      </c>
      <c r="D111" s="3" t="s">
        <v>530</v>
      </c>
      <c r="E111" s="33">
        <v>5</v>
      </c>
      <c r="F111" s="34">
        <v>658</v>
      </c>
    </row>
    <row r="112" spans="1:6">
      <c r="A112" s="40"/>
      <c r="B112" s="3" t="s">
        <v>149</v>
      </c>
      <c r="C112" s="3" t="s">
        <v>533</v>
      </c>
      <c r="D112" s="3" t="s">
        <v>534</v>
      </c>
      <c r="E112" s="33">
        <v>6</v>
      </c>
      <c r="F112" s="34">
        <v>808</v>
      </c>
    </row>
    <row r="113" spans="1:6" ht="30">
      <c r="A113" s="40"/>
      <c r="B113" s="3" t="s">
        <v>32</v>
      </c>
      <c r="C113" s="3" t="s">
        <v>531</v>
      </c>
      <c r="D113" s="3" t="s">
        <v>532</v>
      </c>
      <c r="E113" s="33">
        <v>5</v>
      </c>
      <c r="F113" s="34">
        <v>688</v>
      </c>
    </row>
    <row r="114" spans="1:6">
      <c r="A114" s="39" t="s">
        <v>37</v>
      </c>
      <c r="B114" s="3" t="s">
        <v>78</v>
      </c>
      <c r="C114" s="3" t="s">
        <v>78</v>
      </c>
      <c r="D114" s="3" t="s">
        <v>79</v>
      </c>
      <c r="E114" s="33">
        <v>4</v>
      </c>
      <c r="F114" s="34">
        <v>576</v>
      </c>
    </row>
    <row r="115" spans="1:6" ht="30">
      <c r="A115" s="40"/>
      <c r="B115" s="41" t="s">
        <v>32</v>
      </c>
      <c r="C115" s="3" t="s">
        <v>36</v>
      </c>
      <c r="D115" s="3" t="s">
        <v>38</v>
      </c>
      <c r="E115" s="33">
        <v>6</v>
      </c>
      <c r="F115" s="34">
        <v>1021</v>
      </c>
    </row>
    <row r="116" spans="1:6" ht="30">
      <c r="A116" s="2" t="s">
        <v>733</v>
      </c>
      <c r="B116" s="42" t="s">
        <v>32</v>
      </c>
      <c r="C116" s="3" t="s">
        <v>732</v>
      </c>
      <c r="D116" s="3" t="s">
        <v>734</v>
      </c>
      <c r="E116" s="33">
        <v>4</v>
      </c>
      <c r="F116" s="34">
        <v>482</v>
      </c>
    </row>
    <row r="117" spans="1:6">
      <c r="A117" s="2" t="s">
        <v>408</v>
      </c>
      <c r="B117" s="3" t="s">
        <v>406</v>
      </c>
      <c r="C117" s="3" t="s">
        <v>407</v>
      </c>
      <c r="D117" s="3" t="s">
        <v>409</v>
      </c>
      <c r="E117" s="33">
        <v>1</v>
      </c>
      <c r="F117" s="34">
        <v>110</v>
      </c>
    </row>
    <row r="118" spans="1:6">
      <c r="A118" s="2" t="s">
        <v>114</v>
      </c>
      <c r="B118" s="3" t="s">
        <v>112</v>
      </c>
      <c r="C118" s="3" t="s">
        <v>113</v>
      </c>
      <c r="D118" s="3" t="s">
        <v>115</v>
      </c>
      <c r="E118" s="33">
        <v>1</v>
      </c>
      <c r="F118" s="34">
        <v>81</v>
      </c>
    </row>
    <row r="119" spans="1:6">
      <c r="A119" s="39" t="s">
        <v>342</v>
      </c>
      <c r="B119" s="3" t="s">
        <v>11</v>
      </c>
      <c r="C119" s="3" t="s">
        <v>341</v>
      </c>
      <c r="D119" s="3" t="s">
        <v>343</v>
      </c>
      <c r="E119" s="33">
        <v>8</v>
      </c>
      <c r="F119" s="34">
        <v>1186</v>
      </c>
    </row>
    <row r="120" spans="1:6">
      <c r="A120" s="40"/>
      <c r="B120" s="3" t="s">
        <v>71</v>
      </c>
      <c r="C120" s="3" t="s">
        <v>371</v>
      </c>
      <c r="D120" s="3" t="s">
        <v>372</v>
      </c>
      <c r="E120" s="33">
        <v>11</v>
      </c>
      <c r="F120" s="34">
        <v>1947</v>
      </c>
    </row>
    <row r="121" spans="1:6" ht="30">
      <c r="A121" s="39" t="s">
        <v>225</v>
      </c>
      <c r="B121" s="3" t="s">
        <v>57</v>
      </c>
      <c r="C121" s="3" t="s">
        <v>229</v>
      </c>
      <c r="D121" s="3" t="s">
        <v>230</v>
      </c>
      <c r="E121" s="33">
        <v>6</v>
      </c>
      <c r="F121" s="34">
        <v>1109</v>
      </c>
    </row>
    <row r="122" spans="1:6" ht="30">
      <c r="A122" s="40"/>
      <c r="B122" s="41" t="s">
        <v>32</v>
      </c>
      <c r="C122" s="3" t="s">
        <v>224</v>
      </c>
      <c r="D122" s="3" t="s">
        <v>226</v>
      </c>
      <c r="E122" s="33">
        <v>6</v>
      </c>
      <c r="F122" s="34">
        <v>1238</v>
      </c>
    </row>
    <row r="123" spans="1:6" ht="30">
      <c r="A123" s="40"/>
      <c r="B123" s="42"/>
      <c r="C123" s="3" t="s">
        <v>227</v>
      </c>
      <c r="D123" s="3" t="s">
        <v>228</v>
      </c>
      <c r="E123" s="33">
        <v>5</v>
      </c>
      <c r="F123" s="34">
        <v>631</v>
      </c>
    </row>
    <row r="124" spans="1:6">
      <c r="A124" s="2" t="s">
        <v>183</v>
      </c>
      <c r="B124" s="42" t="s">
        <v>32</v>
      </c>
      <c r="C124" s="3" t="s">
        <v>182</v>
      </c>
      <c r="D124" s="3" t="s">
        <v>184</v>
      </c>
      <c r="E124" s="33">
        <v>5</v>
      </c>
      <c r="F124" s="34">
        <v>827</v>
      </c>
    </row>
    <row r="125" spans="1:6" ht="30">
      <c r="A125" s="39" t="s">
        <v>508</v>
      </c>
      <c r="B125" s="41" t="s">
        <v>374</v>
      </c>
      <c r="C125" s="3" t="s">
        <v>507</v>
      </c>
      <c r="D125" s="3" t="s">
        <v>509</v>
      </c>
      <c r="E125" s="33">
        <v>2</v>
      </c>
      <c r="F125" s="34">
        <v>222</v>
      </c>
    </row>
    <row r="126" spans="1:6" ht="30">
      <c r="A126" s="40"/>
      <c r="B126" s="43"/>
      <c r="C126" s="3" t="s">
        <v>510</v>
      </c>
      <c r="D126" s="3" t="s">
        <v>511</v>
      </c>
      <c r="E126" s="33">
        <v>3</v>
      </c>
      <c r="F126" s="34">
        <v>351</v>
      </c>
    </row>
    <row r="127" spans="1:6">
      <c r="A127" s="2" t="s">
        <v>282</v>
      </c>
      <c r="B127" s="3" t="s">
        <v>279</v>
      </c>
      <c r="C127" s="3" t="s">
        <v>280</v>
      </c>
      <c r="D127" s="3" t="s">
        <v>283</v>
      </c>
      <c r="E127" s="33">
        <v>2</v>
      </c>
      <c r="F127" s="34">
        <v>240</v>
      </c>
    </row>
    <row r="128" spans="1:6" ht="30">
      <c r="A128" s="39" t="s">
        <v>702</v>
      </c>
      <c r="B128" s="3" t="s">
        <v>11</v>
      </c>
      <c r="C128" s="3" t="s">
        <v>701</v>
      </c>
      <c r="D128" s="3" t="s">
        <v>703</v>
      </c>
      <c r="E128" s="33">
        <v>14</v>
      </c>
      <c r="F128" s="34">
        <v>2191</v>
      </c>
    </row>
    <row r="129" spans="1:6">
      <c r="A129" s="40"/>
      <c r="B129" s="3" t="s">
        <v>71</v>
      </c>
      <c r="C129" s="3" t="s">
        <v>768</v>
      </c>
      <c r="D129" s="3" t="s">
        <v>769</v>
      </c>
      <c r="E129" s="33">
        <v>6</v>
      </c>
      <c r="F129" s="34">
        <v>1132</v>
      </c>
    </row>
    <row r="130" spans="1:6" ht="60">
      <c r="A130" s="40"/>
      <c r="B130" s="3" t="s">
        <v>779</v>
      </c>
      <c r="C130" s="3" t="s">
        <v>784</v>
      </c>
      <c r="D130" s="3" t="s">
        <v>785</v>
      </c>
      <c r="E130" s="33">
        <v>1</v>
      </c>
      <c r="F130" s="34">
        <v>208</v>
      </c>
    </row>
    <row r="131" spans="1:6">
      <c r="A131" s="2" t="s">
        <v>103</v>
      </c>
      <c r="B131" s="3" t="s">
        <v>102</v>
      </c>
      <c r="C131" s="3" t="s">
        <v>102</v>
      </c>
      <c r="D131" s="3" t="s">
        <v>104</v>
      </c>
      <c r="E131" s="33">
        <v>4</v>
      </c>
      <c r="F131" s="34">
        <v>475</v>
      </c>
    </row>
    <row r="132" spans="1:6">
      <c r="A132" s="2" t="s">
        <v>379</v>
      </c>
      <c r="B132" s="3" t="s">
        <v>374</v>
      </c>
      <c r="C132" s="3" t="s">
        <v>378</v>
      </c>
      <c r="D132" s="3" t="s">
        <v>380</v>
      </c>
      <c r="E132" s="33">
        <v>3</v>
      </c>
      <c r="F132" s="34">
        <v>286</v>
      </c>
    </row>
    <row r="133" spans="1:6" ht="30">
      <c r="A133" s="2" t="s">
        <v>464</v>
      </c>
      <c r="B133" s="3" t="s">
        <v>57</v>
      </c>
      <c r="C133" s="3" t="s">
        <v>462</v>
      </c>
      <c r="D133" s="3" t="s">
        <v>465</v>
      </c>
      <c r="E133" s="33">
        <v>5</v>
      </c>
      <c r="F133" s="34">
        <v>953</v>
      </c>
    </row>
    <row r="134" spans="1:6">
      <c r="A134" s="39" t="s">
        <v>136</v>
      </c>
      <c r="B134" s="3" t="s">
        <v>11</v>
      </c>
      <c r="C134" s="3" t="s">
        <v>134</v>
      </c>
      <c r="D134" s="3" t="s">
        <v>137</v>
      </c>
      <c r="E134" s="33">
        <v>3</v>
      </c>
      <c r="F134" s="34">
        <v>353</v>
      </c>
    </row>
    <row r="135" spans="1:6" ht="30">
      <c r="A135" s="40"/>
      <c r="B135" s="3" t="s">
        <v>57</v>
      </c>
      <c r="C135" s="3" t="s">
        <v>160</v>
      </c>
      <c r="D135" s="3" t="s">
        <v>161</v>
      </c>
      <c r="E135" s="33">
        <v>6</v>
      </c>
      <c r="F135" s="34">
        <v>996</v>
      </c>
    </row>
    <row r="136" spans="1:6" ht="30">
      <c r="A136" s="2" t="s">
        <v>290</v>
      </c>
      <c r="B136" s="3" t="s">
        <v>288</v>
      </c>
      <c r="C136" s="3" t="s">
        <v>289</v>
      </c>
      <c r="D136" s="3" t="s">
        <v>291</v>
      </c>
      <c r="E136" s="33">
        <v>2</v>
      </c>
      <c r="F136" s="34">
        <v>227</v>
      </c>
    </row>
    <row r="137" spans="1:6" ht="30">
      <c r="A137" s="39" t="s">
        <v>339</v>
      </c>
      <c r="B137" s="3" t="s">
        <v>11</v>
      </c>
      <c r="C137" s="3" t="s">
        <v>337</v>
      </c>
      <c r="D137" s="3" t="s">
        <v>340</v>
      </c>
      <c r="E137" s="33">
        <v>5</v>
      </c>
      <c r="F137" s="34">
        <v>948</v>
      </c>
    </row>
    <row r="138" spans="1:6">
      <c r="A138" s="40"/>
      <c r="B138" s="3" t="s">
        <v>396</v>
      </c>
      <c r="C138" s="3" t="s">
        <v>397</v>
      </c>
      <c r="D138" s="3" t="s">
        <v>398</v>
      </c>
      <c r="E138" s="33">
        <v>2</v>
      </c>
      <c r="F138" s="34">
        <v>222</v>
      </c>
    </row>
    <row r="139" spans="1:6" ht="30">
      <c r="A139" s="2" t="s">
        <v>521</v>
      </c>
      <c r="B139" s="3" t="s">
        <v>519</v>
      </c>
      <c r="C139" s="3" t="s">
        <v>520</v>
      </c>
      <c r="D139" s="3" t="s">
        <v>522</v>
      </c>
      <c r="E139" s="33">
        <v>1</v>
      </c>
      <c r="F139" s="34">
        <v>62</v>
      </c>
    </row>
    <row r="140" spans="1:6">
      <c r="A140" s="2" t="s">
        <v>329</v>
      </c>
      <c r="B140" s="3" t="s">
        <v>327</v>
      </c>
      <c r="C140" s="3" t="s">
        <v>328</v>
      </c>
      <c r="D140" s="3" t="s">
        <v>330</v>
      </c>
      <c r="E140" s="33">
        <v>2</v>
      </c>
      <c r="F140" s="34">
        <v>251</v>
      </c>
    </row>
    <row r="141" spans="1:6" ht="30">
      <c r="A141" s="2" t="s">
        <v>350</v>
      </c>
      <c r="B141" s="3" t="s">
        <v>32</v>
      </c>
      <c r="C141" s="3" t="s">
        <v>349</v>
      </c>
      <c r="D141" s="3" t="s">
        <v>351</v>
      </c>
      <c r="E141" s="33">
        <v>4</v>
      </c>
      <c r="F141" s="34">
        <v>769</v>
      </c>
    </row>
    <row r="142" spans="1:6" ht="30">
      <c r="A142" s="2" t="s">
        <v>276</v>
      </c>
      <c r="B142" s="3" t="s">
        <v>271</v>
      </c>
      <c r="C142" s="3" t="s">
        <v>275</v>
      </c>
      <c r="D142" s="3" t="s">
        <v>277</v>
      </c>
      <c r="E142" s="33">
        <v>2</v>
      </c>
      <c r="F142" s="34">
        <v>169</v>
      </c>
    </row>
    <row r="143" spans="1:6">
      <c r="A143" s="2" t="s">
        <v>49</v>
      </c>
      <c r="B143" s="3" t="s">
        <v>32</v>
      </c>
      <c r="C143" s="3" t="s">
        <v>48</v>
      </c>
      <c r="D143" s="3" t="s">
        <v>50</v>
      </c>
      <c r="E143" s="33">
        <v>4</v>
      </c>
      <c r="F143" s="34">
        <v>691</v>
      </c>
    </row>
    <row r="144" spans="1:6">
      <c r="A144" s="39" t="s">
        <v>99</v>
      </c>
      <c r="B144" s="3" t="s">
        <v>11</v>
      </c>
      <c r="C144" s="3" t="s">
        <v>98</v>
      </c>
      <c r="D144" s="3" t="s">
        <v>100</v>
      </c>
      <c r="E144" s="33">
        <v>6</v>
      </c>
      <c r="F144" s="34">
        <v>1173</v>
      </c>
    </row>
    <row r="145" spans="1:6" ht="30">
      <c r="A145" s="40"/>
      <c r="B145" s="3" t="s">
        <v>57</v>
      </c>
      <c r="C145" s="3" t="s">
        <v>107</v>
      </c>
      <c r="D145" s="3" t="s">
        <v>108</v>
      </c>
      <c r="E145" s="33">
        <v>4</v>
      </c>
      <c r="F145" s="34">
        <v>1060</v>
      </c>
    </row>
    <row r="146" spans="1:6" ht="45">
      <c r="A146" s="40"/>
      <c r="B146" s="41" t="s">
        <v>32</v>
      </c>
      <c r="C146" s="3" t="s">
        <v>109</v>
      </c>
      <c r="D146" s="3" t="s">
        <v>110</v>
      </c>
      <c r="E146" s="33">
        <v>1</v>
      </c>
      <c r="F146" s="34">
        <v>448</v>
      </c>
    </row>
    <row r="147" spans="1:6">
      <c r="A147" s="40"/>
      <c r="B147" s="42"/>
      <c r="C147" s="3" t="s">
        <v>105</v>
      </c>
      <c r="D147" s="3" t="s">
        <v>106</v>
      </c>
      <c r="E147" s="33">
        <v>6</v>
      </c>
      <c r="F147" s="34">
        <v>867</v>
      </c>
    </row>
    <row r="148" spans="1:6" ht="30">
      <c r="A148" s="2" t="s">
        <v>241</v>
      </c>
      <c r="B148" s="3" t="s">
        <v>57</v>
      </c>
      <c r="C148" s="3" t="s">
        <v>240</v>
      </c>
      <c r="D148" s="3" t="s">
        <v>242</v>
      </c>
      <c r="E148" s="33">
        <v>4</v>
      </c>
      <c r="F148" s="34">
        <v>546</v>
      </c>
    </row>
    <row r="149" spans="1:6" ht="30">
      <c r="A149" s="2" t="s">
        <v>728</v>
      </c>
      <c r="B149" s="3" t="s">
        <v>32</v>
      </c>
      <c r="C149" s="3" t="s">
        <v>727</v>
      </c>
      <c r="D149" s="3" t="s">
        <v>729</v>
      </c>
      <c r="E149" s="33">
        <v>5</v>
      </c>
      <c r="F149" s="34">
        <v>885</v>
      </c>
    </row>
    <row r="150" spans="1:6" ht="30">
      <c r="A150" s="2" t="s">
        <v>382</v>
      </c>
      <c r="B150" s="3" t="s">
        <v>374</v>
      </c>
      <c r="C150" s="3" t="s">
        <v>381</v>
      </c>
      <c r="D150" s="3" t="s">
        <v>383</v>
      </c>
      <c r="E150" s="33">
        <v>3</v>
      </c>
      <c r="F150" s="34">
        <v>266</v>
      </c>
    </row>
    <row r="151" spans="1:6" ht="30">
      <c r="A151" s="2" t="s">
        <v>758</v>
      </c>
      <c r="B151" s="3" t="s">
        <v>744</v>
      </c>
      <c r="C151" s="3" t="s">
        <v>757</v>
      </c>
      <c r="D151" s="3" t="s">
        <v>759</v>
      </c>
      <c r="E151" s="33">
        <v>4</v>
      </c>
      <c r="F151" s="34">
        <v>668</v>
      </c>
    </row>
    <row r="152" spans="1:6" ht="30">
      <c r="A152" s="39" t="s">
        <v>489</v>
      </c>
      <c r="B152" s="41" t="s">
        <v>296</v>
      </c>
      <c r="C152" s="3" t="s">
        <v>488</v>
      </c>
      <c r="D152" s="3" t="s">
        <v>490</v>
      </c>
      <c r="E152" s="33">
        <v>1</v>
      </c>
      <c r="F152" s="34">
        <v>100</v>
      </c>
    </row>
    <row r="153" spans="1:6" ht="30">
      <c r="A153" s="40"/>
      <c r="B153" s="43"/>
      <c r="C153" s="3" t="s">
        <v>491</v>
      </c>
      <c r="D153" s="3" t="s">
        <v>492</v>
      </c>
      <c r="E153" s="33">
        <v>1</v>
      </c>
      <c r="F153" s="34">
        <v>120</v>
      </c>
    </row>
    <row r="154" spans="1:6">
      <c r="A154" s="2" t="s">
        <v>369</v>
      </c>
      <c r="B154" s="3" t="s">
        <v>367</v>
      </c>
      <c r="C154" s="3" t="s">
        <v>368</v>
      </c>
      <c r="D154" s="3" t="s">
        <v>370</v>
      </c>
      <c r="E154" s="33">
        <v>3</v>
      </c>
      <c r="F154" s="34">
        <v>433</v>
      </c>
    </row>
    <row r="155" spans="1:6">
      <c r="A155" s="2" t="s">
        <v>317</v>
      </c>
      <c r="B155" s="3" t="s">
        <v>315</v>
      </c>
      <c r="C155" s="3" t="s">
        <v>316</v>
      </c>
      <c r="D155" s="3" t="s">
        <v>318</v>
      </c>
      <c r="E155" s="33">
        <v>1</v>
      </c>
      <c r="F155" s="34">
        <v>178</v>
      </c>
    </row>
    <row r="156" spans="1:6">
      <c r="A156" s="2" t="s">
        <v>90</v>
      </c>
      <c r="B156" s="3" t="s">
        <v>89</v>
      </c>
      <c r="C156" s="3" t="s">
        <v>89</v>
      </c>
      <c r="D156" s="3" t="s">
        <v>91</v>
      </c>
      <c r="E156" s="33">
        <v>2</v>
      </c>
      <c r="F156" s="34">
        <v>153</v>
      </c>
    </row>
    <row r="157" spans="1:6" ht="30">
      <c r="A157" s="2" t="s">
        <v>118</v>
      </c>
      <c r="B157" s="3" t="s">
        <v>116</v>
      </c>
      <c r="C157" s="3" t="s">
        <v>117</v>
      </c>
      <c r="D157" s="3" t="s">
        <v>119</v>
      </c>
      <c r="E157" s="33">
        <v>1</v>
      </c>
      <c r="F157" s="34">
        <v>99</v>
      </c>
    </row>
    <row r="158" spans="1:6" ht="30">
      <c r="A158" s="2" t="s">
        <v>356</v>
      </c>
      <c r="B158" s="3" t="s">
        <v>32</v>
      </c>
      <c r="C158" s="3" t="s">
        <v>355</v>
      </c>
      <c r="D158" s="3" t="s">
        <v>357</v>
      </c>
      <c r="E158" s="33">
        <v>4</v>
      </c>
      <c r="F158" s="34">
        <v>697</v>
      </c>
    </row>
    <row r="159" spans="1:6" ht="30">
      <c r="A159" s="2" t="s">
        <v>540</v>
      </c>
      <c r="B159" s="3" t="s">
        <v>538</v>
      </c>
      <c r="C159" s="3" t="s">
        <v>539</v>
      </c>
      <c r="D159" s="3" t="s">
        <v>541</v>
      </c>
      <c r="E159" s="33">
        <v>2</v>
      </c>
      <c r="F159" s="34">
        <v>260</v>
      </c>
    </row>
    <row r="160" spans="1:6">
      <c r="A160" s="39" t="s">
        <v>468</v>
      </c>
      <c r="B160" s="3" t="s">
        <v>93</v>
      </c>
      <c r="C160" s="3" t="s">
        <v>466</v>
      </c>
      <c r="D160" s="3" t="s">
        <v>469</v>
      </c>
      <c r="E160" s="33">
        <v>4</v>
      </c>
      <c r="F160" s="34">
        <v>960</v>
      </c>
    </row>
    <row r="161" spans="1:6">
      <c r="A161" s="40"/>
      <c r="B161" s="3" t="s">
        <v>11</v>
      </c>
      <c r="C161" s="3" t="s">
        <v>474</v>
      </c>
      <c r="D161" s="3" t="s">
        <v>475</v>
      </c>
      <c r="E161" s="33">
        <v>6</v>
      </c>
      <c r="F161" s="34">
        <v>1077</v>
      </c>
    </row>
    <row r="162" spans="1:6" ht="30">
      <c r="A162" s="40"/>
      <c r="B162" s="3" t="s">
        <v>71</v>
      </c>
      <c r="C162" s="3" t="s">
        <v>482</v>
      </c>
      <c r="D162" s="3" t="s">
        <v>483</v>
      </c>
      <c r="E162" s="33">
        <v>8</v>
      </c>
      <c r="F162" s="34">
        <v>1803</v>
      </c>
    </row>
    <row r="163" spans="1:6" ht="30">
      <c r="A163" s="40"/>
      <c r="B163" s="3" t="s">
        <v>471</v>
      </c>
      <c r="C163" s="3" t="s">
        <v>472</v>
      </c>
      <c r="D163" s="3" t="s">
        <v>473</v>
      </c>
      <c r="E163" s="33">
        <v>1</v>
      </c>
      <c r="F163" s="34">
        <v>235</v>
      </c>
    </row>
    <row r="164" spans="1:6">
      <c r="A164" s="40"/>
      <c r="B164" s="41" t="s">
        <v>477</v>
      </c>
      <c r="C164" s="3" t="s">
        <v>478</v>
      </c>
      <c r="D164" s="3" t="s">
        <v>479</v>
      </c>
      <c r="E164" s="33">
        <v>2</v>
      </c>
      <c r="F164" s="34">
        <v>1351</v>
      </c>
    </row>
    <row r="165" spans="1:6">
      <c r="A165" s="40"/>
      <c r="B165" s="42"/>
      <c r="C165" s="3" t="s">
        <v>480</v>
      </c>
      <c r="D165" s="3" t="s">
        <v>481</v>
      </c>
      <c r="E165" s="33">
        <v>1</v>
      </c>
      <c r="F165" s="34">
        <v>40</v>
      </c>
    </row>
    <row r="166" spans="1:6" ht="30">
      <c r="A166" s="39" t="s">
        <v>699</v>
      </c>
      <c r="B166" s="41" t="s">
        <v>11</v>
      </c>
      <c r="C166" s="3" t="s">
        <v>710</v>
      </c>
      <c r="D166" s="3" t="s">
        <v>711</v>
      </c>
      <c r="E166" s="33">
        <v>6</v>
      </c>
      <c r="F166" s="34">
        <v>928</v>
      </c>
    </row>
    <row r="167" spans="1:6" ht="30">
      <c r="A167" s="40"/>
      <c r="B167" s="42"/>
      <c r="C167" s="3" t="s">
        <v>704</v>
      </c>
      <c r="D167" s="3" t="s">
        <v>705</v>
      </c>
      <c r="E167" s="33">
        <v>5</v>
      </c>
      <c r="F167" s="34">
        <v>712</v>
      </c>
    </row>
    <row r="168" spans="1:6">
      <c r="A168" s="40"/>
      <c r="B168" s="42"/>
      <c r="C168" s="3" t="s">
        <v>712</v>
      </c>
      <c r="D168" s="3" t="s">
        <v>713</v>
      </c>
      <c r="E168" s="33">
        <v>6</v>
      </c>
      <c r="F168" s="34">
        <v>1216</v>
      </c>
    </row>
    <row r="169" spans="1:6">
      <c r="A169" s="40"/>
      <c r="B169" s="42"/>
      <c r="C169" s="3" t="s">
        <v>706</v>
      </c>
      <c r="D169" s="3" t="s">
        <v>707</v>
      </c>
      <c r="E169" s="33">
        <v>10</v>
      </c>
      <c r="F169" s="34">
        <v>1622</v>
      </c>
    </row>
    <row r="170" spans="1:6">
      <c r="A170" s="40"/>
      <c r="B170" s="42"/>
      <c r="C170" s="3" t="s">
        <v>708</v>
      </c>
      <c r="D170" s="3" t="s">
        <v>709</v>
      </c>
      <c r="E170" s="33">
        <v>7</v>
      </c>
      <c r="F170" s="34">
        <v>1593</v>
      </c>
    </row>
    <row r="171" spans="1:6">
      <c r="A171" s="40"/>
      <c r="B171" s="41" t="s">
        <v>57</v>
      </c>
      <c r="C171" s="3" t="s">
        <v>739</v>
      </c>
      <c r="D171" s="3" t="s">
        <v>740</v>
      </c>
      <c r="E171" s="33">
        <v>9</v>
      </c>
      <c r="F171" s="34">
        <v>1416</v>
      </c>
    </row>
    <row r="172" spans="1:6">
      <c r="A172" s="40"/>
      <c r="B172" s="42"/>
      <c r="C172" s="3" t="s">
        <v>741</v>
      </c>
      <c r="D172" s="3" t="s">
        <v>742</v>
      </c>
      <c r="E172" s="33">
        <v>10</v>
      </c>
      <c r="F172" s="34">
        <v>1287</v>
      </c>
    </row>
    <row r="173" spans="1:6" ht="30">
      <c r="A173" s="40"/>
      <c r="B173" s="3" t="s">
        <v>715</v>
      </c>
      <c r="C173" s="3" t="s">
        <v>716</v>
      </c>
      <c r="D173" s="3" t="s">
        <v>717</v>
      </c>
      <c r="E173" s="33">
        <v>1</v>
      </c>
      <c r="F173" s="34">
        <v>12</v>
      </c>
    </row>
    <row r="174" spans="1:6" ht="45">
      <c r="A174" s="40"/>
      <c r="B174" s="3" t="s">
        <v>696</v>
      </c>
      <c r="C174" s="3" t="s">
        <v>697</v>
      </c>
      <c r="D174" s="3" t="s">
        <v>700</v>
      </c>
      <c r="E174" s="33">
        <v>2</v>
      </c>
      <c r="F174" s="34">
        <v>280</v>
      </c>
    </row>
    <row r="175" spans="1:6">
      <c r="A175" s="40"/>
      <c r="B175" s="41" t="s">
        <v>779</v>
      </c>
      <c r="C175" s="3" t="s">
        <v>780</v>
      </c>
      <c r="D175" s="3" t="s">
        <v>781</v>
      </c>
      <c r="E175" s="33">
        <v>1</v>
      </c>
      <c r="F175" s="34">
        <v>75</v>
      </c>
    </row>
    <row r="176" spans="1:6">
      <c r="A176" s="40"/>
      <c r="B176" s="42"/>
      <c r="C176" s="3" t="s">
        <v>782</v>
      </c>
      <c r="D176" s="3" t="s">
        <v>783</v>
      </c>
      <c r="E176" s="33">
        <v>1</v>
      </c>
      <c r="F176" s="34">
        <v>289</v>
      </c>
    </row>
    <row r="177" spans="1:6" ht="30">
      <c r="A177" s="40"/>
      <c r="B177" s="3" t="s">
        <v>719</v>
      </c>
      <c r="C177" s="3" t="s">
        <v>719</v>
      </c>
      <c r="D177" s="3" t="s">
        <v>720</v>
      </c>
      <c r="E177" s="33">
        <v>1</v>
      </c>
      <c r="F177" s="34">
        <v>32</v>
      </c>
    </row>
    <row r="178" spans="1:6" ht="30">
      <c r="A178" s="40"/>
      <c r="B178" s="3" t="s">
        <v>149</v>
      </c>
      <c r="C178" s="3" t="s">
        <v>737</v>
      </c>
      <c r="D178" s="3" t="s">
        <v>738</v>
      </c>
      <c r="E178" s="33">
        <v>3</v>
      </c>
      <c r="F178" s="34">
        <v>317</v>
      </c>
    </row>
    <row r="179" spans="1:6" ht="30">
      <c r="A179" s="40"/>
      <c r="B179" s="41" t="s">
        <v>32</v>
      </c>
      <c r="C179" s="3" t="s">
        <v>725</v>
      </c>
      <c r="D179" s="3" t="s">
        <v>726</v>
      </c>
      <c r="E179" s="33">
        <v>6</v>
      </c>
      <c r="F179" s="34">
        <v>1160</v>
      </c>
    </row>
    <row r="180" spans="1:6" ht="30">
      <c r="A180" s="40"/>
      <c r="B180" s="42"/>
      <c r="C180" s="3" t="s">
        <v>730</v>
      </c>
      <c r="D180" s="3" t="s">
        <v>731</v>
      </c>
      <c r="E180" s="33">
        <v>6</v>
      </c>
      <c r="F180" s="34">
        <v>940</v>
      </c>
    </row>
    <row r="181" spans="1:6">
      <c r="A181" s="40"/>
      <c r="B181" s="42"/>
      <c r="C181" s="3" t="s">
        <v>735</v>
      </c>
      <c r="D181" s="3" t="s">
        <v>736</v>
      </c>
      <c r="E181" s="33">
        <v>6</v>
      </c>
      <c r="F181" s="34">
        <v>1279</v>
      </c>
    </row>
    <row r="182" spans="1:6" ht="30">
      <c r="A182" s="40"/>
      <c r="B182" s="41" t="s">
        <v>744</v>
      </c>
      <c r="C182" s="3" t="s">
        <v>753</v>
      </c>
      <c r="D182" s="3" t="s">
        <v>754</v>
      </c>
      <c r="E182" s="33">
        <v>5</v>
      </c>
      <c r="F182" s="34">
        <v>917</v>
      </c>
    </row>
    <row r="183" spans="1:6" ht="30">
      <c r="A183" s="40"/>
      <c r="B183" s="43"/>
      <c r="C183" s="3" t="s">
        <v>755</v>
      </c>
      <c r="D183" s="3" t="s">
        <v>756</v>
      </c>
      <c r="E183" s="33">
        <v>7</v>
      </c>
      <c r="F183" s="34">
        <v>1184</v>
      </c>
    </row>
    <row r="184" spans="1:6" ht="30">
      <c r="A184" s="40"/>
      <c r="B184" s="3" t="s">
        <v>722</v>
      </c>
      <c r="C184" s="3" t="s">
        <v>723</v>
      </c>
      <c r="D184" s="3" t="s">
        <v>724</v>
      </c>
      <c r="E184" s="33">
        <v>1</v>
      </c>
      <c r="F184" s="34">
        <v>256</v>
      </c>
    </row>
    <row r="185" spans="1:6" ht="30">
      <c r="A185" s="40"/>
      <c r="B185" s="3" t="s">
        <v>790</v>
      </c>
      <c r="C185" s="3" t="s">
        <v>791</v>
      </c>
      <c r="D185" s="3" t="s">
        <v>792</v>
      </c>
      <c r="E185" s="33">
        <v>1</v>
      </c>
      <c r="F185" s="34">
        <v>460</v>
      </c>
    </row>
    <row r="186" spans="1:6" ht="30">
      <c r="A186" s="40"/>
      <c r="B186" s="41" t="s">
        <v>131</v>
      </c>
      <c r="C186" s="3" t="s">
        <v>770</v>
      </c>
      <c r="D186" s="3" t="s">
        <v>771</v>
      </c>
      <c r="E186" s="33">
        <v>3</v>
      </c>
      <c r="F186" s="34">
        <v>237</v>
      </c>
    </row>
    <row r="187" spans="1:6">
      <c r="A187" s="40"/>
      <c r="B187" s="43"/>
      <c r="C187" s="3" t="s">
        <v>772</v>
      </c>
      <c r="D187" s="3" t="s">
        <v>773</v>
      </c>
      <c r="E187" s="33">
        <v>5</v>
      </c>
      <c r="F187" s="34">
        <v>538</v>
      </c>
    </row>
    <row r="188" spans="1:6" ht="30">
      <c r="A188" s="39" t="s">
        <v>122</v>
      </c>
      <c r="B188" s="41" t="s">
        <v>120</v>
      </c>
      <c r="C188" s="3" t="s">
        <v>121</v>
      </c>
      <c r="D188" s="3" t="s">
        <v>123</v>
      </c>
      <c r="E188" s="33">
        <v>2</v>
      </c>
      <c r="F188" s="34">
        <v>136</v>
      </c>
    </row>
    <row r="189" spans="1:6" ht="30">
      <c r="A189" s="40"/>
      <c r="B189" s="43"/>
      <c r="C189" s="3" t="s">
        <v>124</v>
      </c>
      <c r="D189" s="3" t="s">
        <v>125</v>
      </c>
      <c r="E189" s="33">
        <v>1</v>
      </c>
      <c r="F189" s="34">
        <v>98</v>
      </c>
    </row>
    <row r="190" spans="1:6" ht="30">
      <c r="A190" s="2" t="s">
        <v>212</v>
      </c>
      <c r="B190" s="3" t="s">
        <v>206</v>
      </c>
      <c r="C190" s="3" t="s">
        <v>211</v>
      </c>
      <c r="D190" s="3" t="s">
        <v>213</v>
      </c>
      <c r="E190" s="33">
        <v>2</v>
      </c>
      <c r="F190" s="34">
        <v>277</v>
      </c>
    </row>
    <row r="191" spans="1:6" ht="30">
      <c r="A191" s="2" t="s">
        <v>414</v>
      </c>
      <c r="B191" s="3" t="s">
        <v>412</v>
      </c>
      <c r="C191" s="3" t="s">
        <v>413</v>
      </c>
      <c r="D191" s="3" t="s">
        <v>415</v>
      </c>
      <c r="E191" s="33">
        <v>1</v>
      </c>
      <c r="F191" s="34">
        <v>210</v>
      </c>
    </row>
    <row r="192" spans="1:6" ht="30">
      <c r="A192" s="39" t="s">
        <v>401</v>
      </c>
      <c r="B192" s="3" t="s">
        <v>11</v>
      </c>
      <c r="C192" s="3" t="s">
        <v>399</v>
      </c>
      <c r="D192" s="3" t="s">
        <v>402</v>
      </c>
      <c r="E192" s="33">
        <v>5</v>
      </c>
      <c r="F192" s="34">
        <v>870</v>
      </c>
    </row>
    <row r="193" spans="1:6" ht="30">
      <c r="A193" s="40"/>
      <c r="B193" s="3" t="s">
        <v>57</v>
      </c>
      <c r="C193" s="3" t="s">
        <v>410</v>
      </c>
      <c r="D193" s="3" t="s">
        <v>411</v>
      </c>
      <c r="E193" s="33">
        <v>5</v>
      </c>
      <c r="F193" s="34">
        <v>1257</v>
      </c>
    </row>
    <row r="194" spans="1:6" ht="30">
      <c r="A194" s="40"/>
      <c r="B194" s="41" t="s">
        <v>32</v>
      </c>
      <c r="C194" s="3" t="s">
        <v>403</v>
      </c>
      <c r="D194" s="3" t="s">
        <v>404</v>
      </c>
      <c r="E194" s="33">
        <v>5</v>
      </c>
      <c r="F194" s="34">
        <v>1048</v>
      </c>
    </row>
    <row r="195" spans="1:6">
      <c r="A195" s="39" t="s">
        <v>353</v>
      </c>
      <c r="B195" s="42" t="s">
        <v>32</v>
      </c>
      <c r="C195" s="3" t="s">
        <v>352</v>
      </c>
      <c r="D195" s="3" t="s">
        <v>354</v>
      </c>
      <c r="E195" s="33">
        <v>5</v>
      </c>
      <c r="F195" s="34">
        <v>1273</v>
      </c>
    </row>
    <row r="196" spans="1:6">
      <c r="A196" s="40"/>
      <c r="B196" s="41" t="s">
        <v>385</v>
      </c>
      <c r="C196" s="3" t="s">
        <v>386</v>
      </c>
      <c r="D196" s="3" t="s">
        <v>387</v>
      </c>
      <c r="E196" s="33">
        <v>1</v>
      </c>
      <c r="F196" s="34">
        <v>600</v>
      </c>
    </row>
    <row r="197" spans="1:6" ht="30">
      <c r="A197" s="40"/>
      <c r="B197" s="43"/>
      <c r="C197" s="3" t="s">
        <v>388</v>
      </c>
      <c r="D197" s="3" t="s">
        <v>389</v>
      </c>
      <c r="E197" s="33">
        <v>1</v>
      </c>
      <c r="F197" s="34">
        <v>120</v>
      </c>
    </row>
    <row r="198" spans="1:6">
      <c r="A198" s="39" t="s">
        <v>312</v>
      </c>
      <c r="B198" s="3" t="s">
        <v>293</v>
      </c>
      <c r="C198" s="3" t="s">
        <v>321</v>
      </c>
      <c r="D198" s="3" t="s">
        <v>322</v>
      </c>
      <c r="E198" s="33">
        <v>6</v>
      </c>
      <c r="F198" s="34">
        <v>1140</v>
      </c>
    </row>
    <row r="199" spans="1:6">
      <c r="A199" s="40"/>
      <c r="B199" s="3" t="s">
        <v>57</v>
      </c>
      <c r="C199" s="3" t="s">
        <v>319</v>
      </c>
      <c r="D199" s="3" t="s">
        <v>320</v>
      </c>
      <c r="E199" s="33">
        <v>6</v>
      </c>
      <c r="F199" s="34">
        <v>1556</v>
      </c>
    </row>
    <row r="200" spans="1:6" ht="30">
      <c r="A200" s="40"/>
      <c r="B200" s="41" t="s">
        <v>32</v>
      </c>
      <c r="C200" s="3" t="s">
        <v>323</v>
      </c>
      <c r="D200" s="3" t="s">
        <v>324</v>
      </c>
      <c r="E200" s="33">
        <v>8</v>
      </c>
      <c r="F200" s="34">
        <v>1498</v>
      </c>
    </row>
    <row r="201" spans="1:6" ht="30">
      <c r="A201" s="40"/>
      <c r="B201" s="42"/>
      <c r="C201" s="3" t="s">
        <v>325</v>
      </c>
      <c r="D201" s="3" t="s">
        <v>326</v>
      </c>
      <c r="E201" s="33">
        <v>5</v>
      </c>
      <c r="F201" s="34">
        <v>934</v>
      </c>
    </row>
    <row r="202" spans="1:6" ht="30">
      <c r="A202" s="40"/>
      <c r="B202" s="3" t="s">
        <v>220</v>
      </c>
      <c r="C202" s="3" t="s">
        <v>311</v>
      </c>
      <c r="D202" s="3" t="s">
        <v>313</v>
      </c>
      <c r="E202" s="33">
        <v>4</v>
      </c>
      <c r="F202" s="34">
        <v>600</v>
      </c>
    </row>
    <row r="203" spans="1:6">
      <c r="A203" s="2" t="s">
        <v>217</v>
      </c>
      <c r="B203" s="3" t="s">
        <v>215</v>
      </c>
      <c r="C203" s="3" t="s">
        <v>215</v>
      </c>
      <c r="D203" s="3" t="s">
        <v>218</v>
      </c>
      <c r="E203" s="33">
        <v>1</v>
      </c>
      <c r="F203" s="34">
        <v>224</v>
      </c>
    </row>
    <row r="204" spans="1:6">
      <c r="A204" s="2" t="s">
        <v>360</v>
      </c>
      <c r="B204" s="3" t="s">
        <v>359</v>
      </c>
      <c r="C204" s="3" t="s">
        <v>359</v>
      </c>
      <c r="D204" s="3" t="s">
        <v>361</v>
      </c>
      <c r="E204" s="33">
        <v>2</v>
      </c>
      <c r="F204" s="34">
        <v>212</v>
      </c>
    </row>
    <row r="205" spans="1:6" ht="30">
      <c r="A205" s="39" t="s">
        <v>63</v>
      </c>
      <c r="B205" s="41" t="s">
        <v>57</v>
      </c>
      <c r="C205" s="3" t="s">
        <v>62</v>
      </c>
      <c r="D205" s="3" t="s">
        <v>64</v>
      </c>
      <c r="E205" s="33">
        <v>4</v>
      </c>
      <c r="F205" s="34">
        <v>737</v>
      </c>
    </row>
    <row r="206" spans="1:6" ht="30">
      <c r="A206" s="40"/>
      <c r="B206" s="42"/>
      <c r="C206" s="3" t="s">
        <v>65</v>
      </c>
      <c r="D206" s="3" t="s">
        <v>66</v>
      </c>
      <c r="E206" s="33">
        <v>4</v>
      </c>
      <c r="F206" s="34">
        <v>994</v>
      </c>
    </row>
    <row r="207" spans="1:6" ht="30">
      <c r="A207" s="2" t="s">
        <v>222</v>
      </c>
      <c r="B207" s="3" t="s">
        <v>220</v>
      </c>
      <c r="C207" s="3" t="s">
        <v>221</v>
      </c>
      <c r="D207" s="3" t="s">
        <v>223</v>
      </c>
      <c r="E207" s="33">
        <v>4</v>
      </c>
      <c r="F207" s="34">
        <v>580</v>
      </c>
    </row>
    <row r="208" spans="1:6" ht="30">
      <c r="A208" s="39" t="s">
        <v>233</v>
      </c>
      <c r="B208" s="3" t="s">
        <v>57</v>
      </c>
      <c r="C208" s="3" t="s">
        <v>243</v>
      </c>
      <c r="D208" s="3" t="s">
        <v>244</v>
      </c>
      <c r="E208" s="33">
        <v>5</v>
      </c>
      <c r="F208" s="34">
        <v>883</v>
      </c>
    </row>
    <row r="209" spans="1:6" ht="30">
      <c r="A209" s="40"/>
      <c r="B209" s="3" t="s">
        <v>246</v>
      </c>
      <c r="C209" s="3" t="s">
        <v>247</v>
      </c>
      <c r="D209" s="3" t="s">
        <v>248</v>
      </c>
      <c r="E209" s="33">
        <v>4</v>
      </c>
      <c r="F209" s="34">
        <v>1063</v>
      </c>
    </row>
    <row r="210" spans="1:6">
      <c r="A210" s="40"/>
      <c r="B210" s="3" t="s">
        <v>32</v>
      </c>
      <c r="C210" s="3" t="s">
        <v>231</v>
      </c>
      <c r="D210" s="3" t="s">
        <v>234</v>
      </c>
      <c r="E210" s="33">
        <v>4</v>
      </c>
      <c r="F210" s="34">
        <v>617</v>
      </c>
    </row>
    <row r="211" spans="1:6">
      <c r="A211" s="39" t="s">
        <v>178</v>
      </c>
      <c r="B211" s="3" t="s">
        <v>11</v>
      </c>
      <c r="C211" s="3" t="s">
        <v>180</v>
      </c>
      <c r="D211" s="3" t="s">
        <v>181</v>
      </c>
      <c r="E211" s="33">
        <v>5</v>
      </c>
      <c r="F211" s="34">
        <v>990</v>
      </c>
    </row>
    <row r="212" spans="1:6" ht="30">
      <c r="A212" s="40"/>
      <c r="B212" s="41" t="s">
        <v>57</v>
      </c>
      <c r="C212" s="3" t="s">
        <v>187</v>
      </c>
      <c r="D212" s="3" t="s">
        <v>188</v>
      </c>
      <c r="E212" s="33">
        <v>7</v>
      </c>
      <c r="F212" s="34">
        <v>1656</v>
      </c>
    </row>
    <row r="213" spans="1:6" ht="30">
      <c r="A213" s="40"/>
      <c r="B213" s="42"/>
      <c r="C213" s="3" t="s">
        <v>189</v>
      </c>
      <c r="D213" s="3" t="s">
        <v>190</v>
      </c>
      <c r="E213" s="33">
        <v>4</v>
      </c>
      <c r="F213" s="34">
        <v>886</v>
      </c>
    </row>
    <row r="214" spans="1:6" ht="30">
      <c r="A214" s="40"/>
      <c r="B214" s="3" t="s">
        <v>32</v>
      </c>
      <c r="C214" s="3" t="s">
        <v>185</v>
      </c>
      <c r="D214" s="3" t="s">
        <v>186</v>
      </c>
      <c r="E214" s="33">
        <v>4</v>
      </c>
      <c r="F214" s="34">
        <v>570</v>
      </c>
    </row>
    <row r="215" spans="1:6">
      <c r="A215" s="40"/>
      <c r="B215" s="3" t="s">
        <v>176</v>
      </c>
      <c r="C215" s="3" t="s">
        <v>176</v>
      </c>
      <c r="D215" s="3" t="s">
        <v>179</v>
      </c>
      <c r="E215" s="33">
        <v>1</v>
      </c>
      <c r="F215" s="34">
        <v>250</v>
      </c>
    </row>
    <row r="216" spans="1:6">
      <c r="A216" s="2" t="s">
        <v>144</v>
      </c>
      <c r="B216" s="3" t="s">
        <v>11</v>
      </c>
      <c r="C216" s="3" t="s">
        <v>143</v>
      </c>
      <c r="D216" s="3" t="s">
        <v>145</v>
      </c>
      <c r="E216" s="33">
        <v>6</v>
      </c>
      <c r="F216" s="34">
        <v>1163</v>
      </c>
    </row>
    <row r="217" spans="1:6" ht="30">
      <c r="A217" s="39" t="s">
        <v>307</v>
      </c>
      <c r="B217" s="3" t="s">
        <v>220</v>
      </c>
      <c r="C217" s="3" t="s">
        <v>309</v>
      </c>
      <c r="D217" s="3" t="s">
        <v>310</v>
      </c>
      <c r="E217" s="33">
        <v>4</v>
      </c>
      <c r="F217" s="34">
        <v>600</v>
      </c>
    </row>
    <row r="218" spans="1:6">
      <c r="A218" s="40"/>
      <c r="B218" s="3" t="s">
        <v>304</v>
      </c>
      <c r="C218" s="3" t="s">
        <v>305</v>
      </c>
      <c r="D218" s="3" t="s">
        <v>308</v>
      </c>
      <c r="E218" s="33">
        <v>3</v>
      </c>
      <c r="F218" s="34">
        <v>345</v>
      </c>
    </row>
    <row r="219" spans="1:6">
      <c r="A219" s="39" t="s">
        <v>443</v>
      </c>
      <c r="B219" s="3" t="s">
        <v>11</v>
      </c>
      <c r="C219" s="3" t="s">
        <v>441</v>
      </c>
      <c r="D219" s="3" t="s">
        <v>444</v>
      </c>
      <c r="E219" s="33">
        <v>6</v>
      </c>
      <c r="F219" s="34">
        <v>1248</v>
      </c>
    </row>
    <row r="220" spans="1:6" ht="30">
      <c r="A220" s="40"/>
      <c r="B220" s="3" t="s">
        <v>32</v>
      </c>
      <c r="C220" s="3" t="s">
        <v>445</v>
      </c>
      <c r="D220" s="3" t="s">
        <v>446</v>
      </c>
      <c r="E220" s="33">
        <v>4</v>
      </c>
      <c r="F220" s="34">
        <v>529</v>
      </c>
    </row>
    <row r="221" spans="1:6" ht="30">
      <c r="A221" s="2" t="s">
        <v>209</v>
      </c>
      <c r="B221" s="3" t="s">
        <v>206</v>
      </c>
      <c r="C221" s="3" t="s">
        <v>207</v>
      </c>
      <c r="D221" s="3" t="s">
        <v>210</v>
      </c>
      <c r="E221" s="33">
        <v>2</v>
      </c>
      <c r="F221" s="34">
        <v>264</v>
      </c>
    </row>
    <row r="222" spans="1:6">
      <c r="A222" s="2" t="s">
        <v>517</v>
      </c>
      <c r="B222" s="3" t="s">
        <v>515</v>
      </c>
      <c r="C222" s="3" t="s">
        <v>516</v>
      </c>
      <c r="D222" s="3" t="s">
        <v>518</v>
      </c>
      <c r="E222" s="33">
        <v>2</v>
      </c>
      <c r="F222" s="34">
        <v>180</v>
      </c>
    </row>
    <row r="223" spans="1:6" ht="30">
      <c r="A223" s="2" t="s">
        <v>421</v>
      </c>
      <c r="B223" s="3" t="s">
        <v>293</v>
      </c>
      <c r="C223" s="3" t="s">
        <v>419</v>
      </c>
      <c r="D223" s="3" t="s">
        <v>422</v>
      </c>
      <c r="E223" s="33">
        <v>4</v>
      </c>
      <c r="F223" s="34">
        <v>600</v>
      </c>
    </row>
    <row r="224" spans="1:6" ht="30">
      <c r="A224" s="2" t="s">
        <v>258</v>
      </c>
      <c r="B224" s="3" t="s">
        <v>154</v>
      </c>
      <c r="C224" s="3" t="s">
        <v>257</v>
      </c>
      <c r="D224" s="3" t="s">
        <v>259</v>
      </c>
      <c r="E224" s="33">
        <v>3</v>
      </c>
      <c r="F224" s="34">
        <v>370</v>
      </c>
    </row>
    <row r="225" spans="1:6">
      <c r="A225" s="2" t="s">
        <v>301</v>
      </c>
      <c r="B225" s="3" t="s">
        <v>32</v>
      </c>
      <c r="C225" s="3" t="s">
        <v>299</v>
      </c>
      <c r="D225" s="3" t="s">
        <v>302</v>
      </c>
      <c r="E225" s="33">
        <v>6</v>
      </c>
      <c r="F225" s="34">
        <v>1192</v>
      </c>
    </row>
    <row r="226" spans="1:6">
      <c r="A226" s="2" t="s">
        <v>763</v>
      </c>
      <c r="B226" s="41" t="s">
        <v>744</v>
      </c>
      <c r="C226" s="3" t="s">
        <v>762</v>
      </c>
      <c r="D226" s="3" t="s">
        <v>764</v>
      </c>
      <c r="E226" s="33">
        <v>5</v>
      </c>
      <c r="F226" s="34">
        <v>843</v>
      </c>
    </row>
    <row r="227" spans="1:6">
      <c r="A227" s="39" t="s">
        <v>746</v>
      </c>
      <c r="B227" s="43" t="s">
        <v>744</v>
      </c>
      <c r="C227" s="3" t="s">
        <v>745</v>
      </c>
      <c r="D227" s="3" t="s">
        <v>747</v>
      </c>
      <c r="E227" s="33">
        <v>5</v>
      </c>
      <c r="F227" s="34">
        <v>996</v>
      </c>
    </row>
    <row r="228" spans="1:6">
      <c r="A228" s="40"/>
      <c r="B228" s="43"/>
      <c r="C228" s="3" t="s">
        <v>748</v>
      </c>
      <c r="D228" s="3" t="s">
        <v>749</v>
      </c>
      <c r="E228" s="33">
        <v>9</v>
      </c>
      <c r="F228" s="34">
        <v>1339</v>
      </c>
    </row>
    <row r="229" spans="1:6">
      <c r="A229" s="40"/>
      <c r="B229" s="43"/>
      <c r="C229" s="3" t="s">
        <v>760</v>
      </c>
      <c r="D229" s="3" t="s">
        <v>761</v>
      </c>
      <c r="E229" s="33">
        <v>7</v>
      </c>
      <c r="F229" s="34">
        <v>1072</v>
      </c>
    </row>
    <row r="230" spans="1:6">
      <c r="A230" s="2" t="s">
        <v>417</v>
      </c>
      <c r="B230" s="3" t="s">
        <v>416</v>
      </c>
      <c r="C230" s="3" t="s">
        <v>416</v>
      </c>
      <c r="D230" s="3" t="s">
        <v>418</v>
      </c>
      <c r="E230" s="33">
        <v>1</v>
      </c>
      <c r="F230" s="34">
        <v>86</v>
      </c>
    </row>
    <row r="231" spans="1:6" ht="30">
      <c r="A231" s="2" t="s">
        <v>198</v>
      </c>
      <c r="B231" s="3" t="s">
        <v>196</v>
      </c>
      <c r="C231" s="3" t="s">
        <v>197</v>
      </c>
      <c r="D231" s="3" t="s">
        <v>199</v>
      </c>
      <c r="E231" s="33">
        <v>1</v>
      </c>
      <c r="F231" s="34">
        <v>50</v>
      </c>
    </row>
    <row r="232" spans="1:6">
      <c r="A232" s="39" t="s">
        <v>170</v>
      </c>
      <c r="B232" s="3" t="s">
        <v>173</v>
      </c>
      <c r="C232" s="3" t="s">
        <v>173</v>
      </c>
      <c r="D232" s="3" t="s">
        <v>174</v>
      </c>
      <c r="E232" s="33">
        <v>2</v>
      </c>
      <c r="F232" s="34">
        <v>374</v>
      </c>
    </row>
    <row r="233" spans="1:6">
      <c r="A233" s="40"/>
      <c r="B233" s="3" t="s">
        <v>168</v>
      </c>
      <c r="C233" s="3" t="s">
        <v>169</v>
      </c>
      <c r="D233" s="3" t="s">
        <v>171</v>
      </c>
      <c r="E233" s="33">
        <v>1</v>
      </c>
      <c r="F233" s="34">
        <v>120</v>
      </c>
    </row>
    <row r="234" spans="1:6" ht="30">
      <c r="A234" s="39" t="s">
        <v>156</v>
      </c>
      <c r="B234" s="3" t="s">
        <v>154</v>
      </c>
      <c r="C234" s="3" t="s">
        <v>155</v>
      </c>
      <c r="D234" s="3" t="s">
        <v>157</v>
      </c>
      <c r="E234" s="33">
        <v>4</v>
      </c>
      <c r="F234" s="34">
        <v>710</v>
      </c>
    </row>
    <row r="235" spans="1:6" ht="30">
      <c r="A235" s="40"/>
      <c r="B235" s="3" t="s">
        <v>163</v>
      </c>
      <c r="C235" s="3" t="s">
        <v>163</v>
      </c>
      <c r="D235" s="3" t="s">
        <v>164</v>
      </c>
      <c r="E235" s="33">
        <v>2</v>
      </c>
      <c r="F235" s="34">
        <v>303</v>
      </c>
    </row>
    <row r="236" spans="1:6" ht="30">
      <c r="A236" s="2" t="s">
        <v>335</v>
      </c>
      <c r="B236" s="3" t="s">
        <v>332</v>
      </c>
      <c r="C236" s="3" t="s">
        <v>333</v>
      </c>
      <c r="D236" s="3" t="s">
        <v>336</v>
      </c>
      <c r="E236" s="33">
        <v>2</v>
      </c>
      <c r="F236" s="34">
        <v>259</v>
      </c>
    </row>
    <row r="237" spans="1:6" ht="45">
      <c r="A237" s="2" t="s">
        <v>96</v>
      </c>
      <c r="B237" s="3" t="s">
        <v>93</v>
      </c>
      <c r="C237" s="3" t="s">
        <v>94</v>
      </c>
      <c r="D237" s="3" t="s">
        <v>97</v>
      </c>
      <c r="E237" s="33">
        <v>2</v>
      </c>
      <c r="F237" s="34">
        <v>248</v>
      </c>
    </row>
    <row r="238" spans="1:6" ht="30">
      <c r="A238" s="39" t="s">
        <v>285</v>
      </c>
      <c r="B238" s="3" t="s">
        <v>293</v>
      </c>
      <c r="C238" s="3" t="s">
        <v>294</v>
      </c>
      <c r="D238" s="3" t="s">
        <v>295</v>
      </c>
      <c r="E238" s="33">
        <v>4</v>
      </c>
      <c r="F238" s="34">
        <v>608</v>
      </c>
    </row>
    <row r="239" spans="1:6" ht="45">
      <c r="A239" s="40"/>
      <c r="B239" s="3" t="s">
        <v>57</v>
      </c>
      <c r="C239" s="3" t="s">
        <v>284</v>
      </c>
      <c r="D239" s="3" t="s">
        <v>286</v>
      </c>
      <c r="E239" s="33">
        <v>6</v>
      </c>
      <c r="F239" s="34">
        <v>1549</v>
      </c>
    </row>
    <row r="240" spans="1:6" ht="30">
      <c r="A240" s="40"/>
      <c r="B240" s="3" t="s">
        <v>296</v>
      </c>
      <c r="C240" s="3" t="s">
        <v>297</v>
      </c>
      <c r="D240" s="3" t="s">
        <v>298</v>
      </c>
      <c r="E240" s="33">
        <v>4</v>
      </c>
      <c r="F240" s="34">
        <v>424</v>
      </c>
    </row>
    <row r="241" spans="1:6" ht="30">
      <c r="A241" s="2" t="s">
        <v>676</v>
      </c>
      <c r="B241" s="41" t="s">
        <v>32</v>
      </c>
      <c r="C241" s="3" t="s">
        <v>675</v>
      </c>
      <c r="D241" s="3" t="s">
        <v>677</v>
      </c>
      <c r="E241" s="33">
        <v>3</v>
      </c>
      <c r="F241" s="34">
        <v>540</v>
      </c>
    </row>
    <row r="242" spans="1:6" ht="30">
      <c r="A242" s="39" t="s">
        <v>128</v>
      </c>
      <c r="B242" s="42" t="s">
        <v>32</v>
      </c>
      <c r="C242" s="3" t="s">
        <v>126</v>
      </c>
      <c r="D242" s="3" t="s">
        <v>129</v>
      </c>
      <c r="E242" s="33">
        <v>4</v>
      </c>
      <c r="F242" s="34">
        <v>450</v>
      </c>
    </row>
    <row r="243" spans="1:6" ht="30">
      <c r="A243" s="40"/>
      <c r="B243" s="3" t="s">
        <v>131</v>
      </c>
      <c r="C243" s="3" t="s">
        <v>132</v>
      </c>
      <c r="D243" s="3" t="s">
        <v>133</v>
      </c>
      <c r="E243" s="33">
        <v>6</v>
      </c>
      <c r="F243" s="34">
        <v>813</v>
      </c>
    </row>
    <row r="244" spans="1:6">
      <c r="A244" s="39" t="s">
        <v>345</v>
      </c>
      <c r="B244" s="41" t="s">
        <v>11</v>
      </c>
      <c r="C244" s="3" t="s">
        <v>344</v>
      </c>
      <c r="D244" s="3" t="s">
        <v>346</v>
      </c>
      <c r="E244" s="33">
        <v>7</v>
      </c>
      <c r="F244" s="34">
        <v>1443</v>
      </c>
    </row>
    <row r="245" spans="1:6" ht="30">
      <c r="A245" s="40"/>
      <c r="B245" s="42"/>
      <c r="C245" s="3" t="s">
        <v>347</v>
      </c>
      <c r="D245" s="3" t="s">
        <v>348</v>
      </c>
      <c r="E245" s="33">
        <v>9</v>
      </c>
      <c r="F245" s="34">
        <v>1764</v>
      </c>
    </row>
    <row r="246" spans="1:6" ht="30">
      <c r="A246" s="40"/>
      <c r="B246" s="3" t="s">
        <v>57</v>
      </c>
      <c r="C246" s="3" t="s">
        <v>364</v>
      </c>
      <c r="D246" s="3" t="s">
        <v>365</v>
      </c>
      <c r="E246" s="33">
        <v>6</v>
      </c>
      <c r="F246" s="34">
        <v>1212</v>
      </c>
    </row>
    <row r="247" spans="1:6">
      <c r="A247" s="40"/>
      <c r="B247" s="3" t="s">
        <v>149</v>
      </c>
      <c r="C247" s="3" t="s">
        <v>362</v>
      </c>
      <c r="D247" s="3" t="s">
        <v>363</v>
      </c>
      <c r="E247" s="33">
        <v>2</v>
      </c>
      <c r="F247" s="34">
        <v>500</v>
      </c>
    </row>
    <row r="248" spans="1:6">
      <c r="A248" s="2" t="s">
        <v>505</v>
      </c>
      <c r="B248" s="3" t="s">
        <v>154</v>
      </c>
      <c r="C248" s="3" t="s">
        <v>504</v>
      </c>
      <c r="D248" s="3" t="s">
        <v>506</v>
      </c>
      <c r="E248" s="33">
        <v>3</v>
      </c>
      <c r="F248" s="34">
        <v>396</v>
      </c>
    </row>
    <row r="249" spans="1:6" ht="30">
      <c r="A249" s="39" t="s">
        <v>687</v>
      </c>
      <c r="B249" s="3" t="s">
        <v>57</v>
      </c>
      <c r="C249" s="3" t="s">
        <v>686</v>
      </c>
      <c r="D249" s="3" t="s">
        <v>688</v>
      </c>
      <c r="E249" s="33">
        <v>7</v>
      </c>
      <c r="F249" s="34">
        <v>1344</v>
      </c>
    </row>
    <row r="250" spans="1:6" ht="30">
      <c r="A250" s="40"/>
      <c r="B250" s="3" t="s">
        <v>131</v>
      </c>
      <c r="C250" s="3" t="s">
        <v>691</v>
      </c>
      <c r="D250" s="3" t="s">
        <v>692</v>
      </c>
      <c r="E250" s="33">
        <v>6</v>
      </c>
      <c r="F250" s="34">
        <v>949</v>
      </c>
    </row>
    <row r="251" spans="1:6" ht="30">
      <c r="A251" s="39" t="s">
        <v>34</v>
      </c>
      <c r="B251" s="41" t="s">
        <v>32</v>
      </c>
      <c r="C251" s="3" t="s">
        <v>33</v>
      </c>
      <c r="D251" s="3" t="s">
        <v>35</v>
      </c>
      <c r="E251" s="33">
        <v>4</v>
      </c>
      <c r="F251" s="34">
        <v>743</v>
      </c>
    </row>
    <row r="252" spans="1:6">
      <c r="A252" s="40"/>
      <c r="B252" s="42"/>
      <c r="C252" s="3" t="s">
        <v>46</v>
      </c>
      <c r="D252" s="3" t="s">
        <v>47</v>
      </c>
      <c r="E252" s="33">
        <v>5</v>
      </c>
      <c r="F252" s="34">
        <v>781</v>
      </c>
    </row>
    <row r="253" spans="1:6">
      <c r="A253" s="2" t="s">
        <v>238</v>
      </c>
      <c r="B253" s="3" t="s">
        <v>236</v>
      </c>
      <c r="C253" s="3" t="s">
        <v>237</v>
      </c>
      <c r="D253" s="3" t="s">
        <v>239</v>
      </c>
      <c r="E253" s="33">
        <v>1</v>
      </c>
      <c r="F253" s="34">
        <v>35</v>
      </c>
    </row>
    <row r="254" spans="1:6" ht="30">
      <c r="A254" s="39" t="s">
        <v>499</v>
      </c>
      <c r="B254" s="3" t="s">
        <v>332</v>
      </c>
      <c r="C254" s="3" t="s">
        <v>502</v>
      </c>
      <c r="D254" s="3" t="s">
        <v>503</v>
      </c>
      <c r="E254" s="33">
        <v>4</v>
      </c>
      <c r="F254" s="34">
        <v>608</v>
      </c>
    </row>
    <row r="255" spans="1:6">
      <c r="A255" s="40"/>
      <c r="B255" s="3" t="s">
        <v>32</v>
      </c>
      <c r="C255" s="3" t="s">
        <v>498</v>
      </c>
      <c r="D255" s="3" t="s">
        <v>500</v>
      </c>
      <c r="E255" s="33">
        <v>6</v>
      </c>
      <c r="F255" s="34">
        <v>1148</v>
      </c>
    </row>
    <row r="256" spans="1:6">
      <c r="A256" s="40"/>
      <c r="B256" s="3" t="s">
        <v>513</v>
      </c>
      <c r="C256" s="3" t="s">
        <v>513</v>
      </c>
      <c r="D256" s="3" t="s">
        <v>514</v>
      </c>
      <c r="E256" s="33">
        <v>1</v>
      </c>
      <c r="F256" s="34">
        <v>50</v>
      </c>
    </row>
    <row r="257" spans="1:6" ht="30">
      <c r="A257" s="2" t="s">
        <v>536</v>
      </c>
      <c r="B257" s="41" t="s">
        <v>293</v>
      </c>
      <c r="C257" s="3" t="s">
        <v>535</v>
      </c>
      <c r="D257" s="3" t="s">
        <v>537</v>
      </c>
      <c r="E257" s="33">
        <v>6</v>
      </c>
      <c r="F257" s="34">
        <v>1284</v>
      </c>
    </row>
    <row r="258" spans="1:6">
      <c r="A258" s="39" t="s">
        <v>426</v>
      </c>
      <c r="B258" s="42" t="s">
        <v>293</v>
      </c>
      <c r="C258" s="3" t="s">
        <v>428</v>
      </c>
      <c r="D258" s="3" t="s">
        <v>429</v>
      </c>
      <c r="E258" s="33">
        <v>6</v>
      </c>
      <c r="F258" s="34">
        <v>1253</v>
      </c>
    </row>
    <row r="259" spans="1:6" ht="30">
      <c r="A259" s="40"/>
      <c r="B259" s="3" t="s">
        <v>71</v>
      </c>
      <c r="C259" s="3" t="s">
        <v>433</v>
      </c>
      <c r="D259" s="3" t="s">
        <v>434</v>
      </c>
      <c r="E259" s="33">
        <v>5</v>
      </c>
      <c r="F259" s="34">
        <v>945</v>
      </c>
    </row>
    <row r="260" spans="1:6" ht="30">
      <c r="A260" s="40"/>
      <c r="B260" s="3" t="s">
        <v>332</v>
      </c>
      <c r="C260" s="3" t="s">
        <v>424</v>
      </c>
      <c r="D260" s="3" t="s">
        <v>427</v>
      </c>
      <c r="E260" s="33">
        <v>4</v>
      </c>
      <c r="F260" s="34">
        <v>815</v>
      </c>
    </row>
    <row r="261" spans="1:6">
      <c r="A261" s="40"/>
      <c r="B261" s="3" t="s">
        <v>431</v>
      </c>
      <c r="C261" s="3" t="s">
        <v>431</v>
      </c>
      <c r="D261" s="3" t="s">
        <v>432</v>
      </c>
      <c r="E261" s="33">
        <v>1</v>
      </c>
      <c r="F261" s="34">
        <v>60</v>
      </c>
    </row>
    <row r="262" spans="1:6" ht="30">
      <c r="A262" s="40"/>
      <c r="B262" s="3" t="s">
        <v>32</v>
      </c>
      <c r="C262" s="3" t="s">
        <v>435</v>
      </c>
      <c r="D262" s="3" t="s">
        <v>436</v>
      </c>
      <c r="E262" s="33">
        <v>5</v>
      </c>
      <c r="F262" s="34">
        <v>541</v>
      </c>
    </row>
    <row r="263" spans="1:6" ht="30">
      <c r="A263" s="2" t="s">
        <v>456</v>
      </c>
      <c r="B263" s="3" t="s">
        <v>454</v>
      </c>
      <c r="C263" s="3" t="s">
        <v>455</v>
      </c>
      <c r="D263" s="3" t="s">
        <v>457</v>
      </c>
      <c r="E263" s="33">
        <v>1</v>
      </c>
      <c r="F263" s="34">
        <v>94</v>
      </c>
    </row>
    <row r="264" spans="1:6" ht="30">
      <c r="A264" s="39" t="s">
        <v>251</v>
      </c>
      <c r="B264" s="3" t="s">
        <v>11</v>
      </c>
      <c r="C264" s="3" t="s">
        <v>249</v>
      </c>
      <c r="D264" s="3" t="s">
        <v>252</v>
      </c>
      <c r="E264" s="33">
        <v>8</v>
      </c>
      <c r="F264" s="34">
        <v>1665</v>
      </c>
    </row>
    <row r="265" spans="1:6" ht="30">
      <c r="A265" s="40"/>
      <c r="B265" s="3" t="s">
        <v>57</v>
      </c>
      <c r="C265" s="3" t="s">
        <v>260</v>
      </c>
      <c r="D265" s="3" t="s">
        <v>261</v>
      </c>
      <c r="E265" s="33">
        <v>6</v>
      </c>
      <c r="F265" s="34">
        <v>772</v>
      </c>
    </row>
    <row r="266" spans="1:6" ht="30">
      <c r="A266" s="40"/>
      <c r="B266" s="3" t="s">
        <v>149</v>
      </c>
      <c r="C266" s="3" t="s">
        <v>255</v>
      </c>
      <c r="D266" s="3" t="s">
        <v>256</v>
      </c>
      <c r="E266" s="33">
        <v>5</v>
      </c>
      <c r="F266" s="34">
        <v>810</v>
      </c>
    </row>
    <row r="267" spans="1:6" ht="30">
      <c r="A267" s="40"/>
      <c r="B267" s="3" t="s">
        <v>32</v>
      </c>
      <c r="C267" s="3" t="s">
        <v>253</v>
      </c>
      <c r="D267" s="3" t="s">
        <v>254</v>
      </c>
      <c r="E267" s="33">
        <v>6</v>
      </c>
      <c r="F267" s="34">
        <v>1082</v>
      </c>
    </row>
    <row r="268" spans="1:6">
      <c r="A268" s="40"/>
      <c r="B268" s="3" t="s">
        <v>263</v>
      </c>
      <c r="C268" s="3" t="s">
        <v>264</v>
      </c>
      <c r="D268" s="3" t="s">
        <v>265</v>
      </c>
      <c r="E268" s="33">
        <v>3</v>
      </c>
      <c r="F268" s="34">
        <v>513</v>
      </c>
    </row>
    <row r="269" spans="1:6">
      <c r="A269" s="2" t="s">
        <v>394</v>
      </c>
      <c r="B269" s="3" t="s">
        <v>393</v>
      </c>
      <c r="C269" s="3" t="s">
        <v>393</v>
      </c>
      <c r="D269" s="3" t="s">
        <v>395</v>
      </c>
      <c r="E269" s="33">
        <v>1</v>
      </c>
      <c r="F269" s="34">
        <v>100</v>
      </c>
    </row>
    <row r="270" spans="1:6" ht="30">
      <c r="A270" s="39" t="s">
        <v>449</v>
      </c>
      <c r="B270" s="3" t="s">
        <v>154</v>
      </c>
      <c r="C270" s="3" t="s">
        <v>447</v>
      </c>
      <c r="D270" s="3" t="s">
        <v>450</v>
      </c>
      <c r="E270" s="33">
        <v>3</v>
      </c>
      <c r="F270" s="34">
        <v>580</v>
      </c>
    </row>
    <row r="271" spans="1:6" ht="30">
      <c r="A271" s="40"/>
      <c r="B271" s="3" t="s">
        <v>57</v>
      </c>
      <c r="C271" s="3" t="s">
        <v>451</v>
      </c>
      <c r="D271" s="3" t="s">
        <v>452</v>
      </c>
      <c r="E271" s="33">
        <v>4</v>
      </c>
      <c r="F271" s="34">
        <v>767</v>
      </c>
    </row>
    <row r="272" spans="1:6" ht="30">
      <c r="A272" s="2" t="s">
        <v>40</v>
      </c>
      <c r="B272" s="3" t="s">
        <v>32</v>
      </c>
      <c r="C272" s="3" t="s">
        <v>39</v>
      </c>
      <c r="D272" s="3" t="s">
        <v>41</v>
      </c>
      <c r="E272" s="33">
        <v>4</v>
      </c>
      <c r="F272" s="34">
        <v>614</v>
      </c>
    </row>
    <row r="273" spans="1:6" ht="30">
      <c r="A273" s="2" t="s">
        <v>81</v>
      </c>
      <c r="B273" s="3" t="s">
        <v>78</v>
      </c>
      <c r="C273" s="3" t="s">
        <v>80</v>
      </c>
      <c r="D273" s="3" t="s">
        <v>82</v>
      </c>
      <c r="E273" s="33">
        <v>3</v>
      </c>
      <c r="F273" s="34">
        <v>159</v>
      </c>
    </row>
    <row r="274" spans="1:6">
      <c r="A274" s="2" t="s">
        <v>376</v>
      </c>
      <c r="B274" s="3" t="s">
        <v>374</v>
      </c>
      <c r="C274" s="3" t="s">
        <v>375</v>
      </c>
      <c r="D274" s="3" t="s">
        <v>377</v>
      </c>
      <c r="E274" s="33">
        <v>4</v>
      </c>
      <c r="F274" s="34">
        <v>400</v>
      </c>
    </row>
    <row r="275" spans="1:6" ht="30">
      <c r="A275" s="2" t="s">
        <v>496</v>
      </c>
      <c r="B275" s="3" t="s">
        <v>494</v>
      </c>
      <c r="C275" s="3" t="s">
        <v>494</v>
      </c>
      <c r="D275" s="3" t="s">
        <v>497</v>
      </c>
      <c r="E275" s="33">
        <v>1</v>
      </c>
      <c r="F275" s="34">
        <v>138</v>
      </c>
    </row>
    <row r="276" spans="1:6">
      <c r="A276" s="2" t="s">
        <v>788</v>
      </c>
      <c r="B276" s="3" t="s">
        <v>787</v>
      </c>
      <c r="C276" s="3" t="s">
        <v>787</v>
      </c>
      <c r="D276" s="3" t="s">
        <v>789</v>
      </c>
      <c r="E276" s="33">
        <v>1</v>
      </c>
      <c r="F276" s="34">
        <v>60</v>
      </c>
    </row>
    <row r="277" spans="1:6" ht="30">
      <c r="A277" s="2" t="s">
        <v>86</v>
      </c>
      <c r="B277" s="3" t="s">
        <v>84</v>
      </c>
      <c r="C277" s="3" t="s">
        <v>85</v>
      </c>
      <c r="D277" s="3" t="s">
        <v>87</v>
      </c>
      <c r="E277" s="33">
        <v>5</v>
      </c>
      <c r="F277" s="34">
        <v>550</v>
      </c>
    </row>
    <row r="278" spans="1:6">
      <c r="A278" s="2" t="s">
        <v>486</v>
      </c>
      <c r="B278" s="3" t="s">
        <v>485</v>
      </c>
      <c r="C278" s="3" t="s">
        <v>485</v>
      </c>
      <c r="D278" s="3" t="s">
        <v>487</v>
      </c>
      <c r="E278" s="33">
        <v>1</v>
      </c>
      <c r="F278" s="34">
        <v>126</v>
      </c>
    </row>
    <row r="279" spans="1:6">
      <c r="A279" s="4" t="s">
        <v>269</v>
      </c>
      <c r="B279" s="5" t="s">
        <v>267</v>
      </c>
      <c r="C279" s="5" t="s">
        <v>268</v>
      </c>
      <c r="D279" s="5" t="s">
        <v>270</v>
      </c>
      <c r="E279" s="35">
        <v>2</v>
      </c>
      <c r="F279" s="36">
        <v>160</v>
      </c>
    </row>
    <row r="280" spans="1:6">
      <c r="A280"/>
      <c r="B280"/>
      <c r="C280"/>
      <c r="D280"/>
      <c r="E280"/>
      <c r="F280"/>
    </row>
    <row r="281" spans="1:6">
      <c r="A281"/>
      <c r="B281"/>
      <c r="C281"/>
      <c r="D281"/>
      <c r="E281"/>
    </row>
  </sheetData>
  <mergeCells count="79">
    <mergeCell ref="B257:B258"/>
    <mergeCell ref="B212:B213"/>
    <mergeCell ref="B226:B229"/>
    <mergeCell ref="B241:B242"/>
    <mergeCell ref="B244:B245"/>
    <mergeCell ref="B251:B252"/>
    <mergeCell ref="A270:A271"/>
    <mergeCell ref="B19:B20"/>
    <mergeCell ref="B23:B24"/>
    <mergeCell ref="B27:B31"/>
    <mergeCell ref="B34:B51"/>
    <mergeCell ref="B54:B61"/>
    <mergeCell ref="B62:B64"/>
    <mergeCell ref="B65:B68"/>
    <mergeCell ref="B70:B79"/>
    <mergeCell ref="B80:B84"/>
    <mergeCell ref="B89:B90"/>
    <mergeCell ref="B92:B93"/>
    <mergeCell ref="B94:B98"/>
    <mergeCell ref="B100:B101"/>
    <mergeCell ref="B105:B108"/>
    <mergeCell ref="B109:B111"/>
    <mergeCell ref="A34:A88"/>
    <mergeCell ref="A89:A92"/>
    <mergeCell ref="A94:A108"/>
    <mergeCell ref="A109:A113"/>
    <mergeCell ref="A114:A115"/>
    <mergeCell ref="B200:B201"/>
    <mergeCell ref="B115:B116"/>
    <mergeCell ref="B122:B124"/>
    <mergeCell ref="B125:B126"/>
    <mergeCell ref="B146:B147"/>
    <mergeCell ref="B152:B153"/>
    <mergeCell ref="B164:B165"/>
    <mergeCell ref="B166:B170"/>
    <mergeCell ref="B171:B172"/>
    <mergeCell ref="B175:B176"/>
    <mergeCell ref="B179:B181"/>
    <mergeCell ref="B182:B183"/>
    <mergeCell ref="B186:B187"/>
    <mergeCell ref="B188:B189"/>
    <mergeCell ref="B194:B195"/>
    <mergeCell ref="B196:B197"/>
    <mergeCell ref="A249:A250"/>
    <mergeCell ref="A251:A252"/>
    <mergeCell ref="A254:A256"/>
    <mergeCell ref="A258:A262"/>
    <mergeCell ref="A264:A268"/>
    <mergeCell ref="A232:A233"/>
    <mergeCell ref="A234:A235"/>
    <mergeCell ref="A238:A240"/>
    <mergeCell ref="A242:A243"/>
    <mergeCell ref="A244:A247"/>
    <mergeCell ref="A15:A16"/>
    <mergeCell ref="A17:A20"/>
    <mergeCell ref="A21:A22"/>
    <mergeCell ref="A23:A31"/>
    <mergeCell ref="A32:A33"/>
    <mergeCell ref="A119:A120"/>
    <mergeCell ref="A121:A123"/>
    <mergeCell ref="A125:A126"/>
    <mergeCell ref="A128:A130"/>
    <mergeCell ref="A134:A135"/>
    <mergeCell ref="A137:A138"/>
    <mergeCell ref="A144:A147"/>
    <mergeCell ref="A152:A153"/>
    <mergeCell ref="A160:A165"/>
    <mergeCell ref="A166:A187"/>
    <mergeCell ref="A227:A229"/>
    <mergeCell ref="A188:A189"/>
    <mergeCell ref="A192:A194"/>
    <mergeCell ref="A195:A197"/>
    <mergeCell ref="A198:A202"/>
    <mergeCell ref="A205:A206"/>
    <mergeCell ref="B205:B206"/>
    <mergeCell ref="A208:A210"/>
    <mergeCell ref="A211:A215"/>
    <mergeCell ref="A217:A218"/>
    <mergeCell ref="A219:A220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F405-8CBA-4821-A15A-964775816C19}">
  <dimension ref="A1:I106"/>
  <sheetViews>
    <sheetView zoomScale="70" zoomScaleNormal="70" workbookViewId="0">
      <pane xSplit="9" ySplit="4" topLeftCell="J5" activePane="bottomRight" state="frozen"/>
      <selection pane="bottomRight" activeCell="D18" sqref="D18"/>
      <selection pane="bottomLeft" activeCell="A5" sqref="A5"/>
      <selection pane="topRight" activeCell="J1" sqref="J1"/>
    </sheetView>
  </sheetViews>
  <sheetFormatPr defaultColWidth="11.42578125" defaultRowHeight="15"/>
  <cols>
    <col min="1" max="1" width="5.28515625" style="19" customWidth="1"/>
    <col min="2" max="3" width="19.85546875" bestFit="1" customWidth="1"/>
    <col min="4" max="4" width="11.85546875" customWidth="1"/>
    <col min="5" max="5" width="11.5703125" style="13"/>
  </cols>
  <sheetData>
    <row r="1" spans="1:9" ht="28.15" customHeight="1">
      <c r="B1" s="14" t="s">
        <v>795</v>
      </c>
    </row>
    <row r="3" spans="1:9">
      <c r="B3" s="44" t="s">
        <v>796</v>
      </c>
      <c r="C3" s="23"/>
      <c r="D3" s="24" t="s">
        <v>797</v>
      </c>
      <c r="E3" s="25"/>
      <c r="F3" s="24" t="s">
        <v>798</v>
      </c>
      <c r="G3" s="25"/>
      <c r="H3" s="24" t="s">
        <v>799</v>
      </c>
      <c r="I3" s="25"/>
    </row>
    <row r="4" spans="1:9" ht="45">
      <c r="B4" s="44"/>
      <c r="C4" s="26" t="s">
        <v>800</v>
      </c>
      <c r="D4" s="27" t="s">
        <v>801</v>
      </c>
      <c r="E4" s="27" t="s">
        <v>802</v>
      </c>
      <c r="F4" s="27" t="s">
        <v>801</v>
      </c>
      <c r="G4" s="27" t="s">
        <v>802</v>
      </c>
      <c r="H4" s="27" t="s">
        <v>801</v>
      </c>
      <c r="I4" s="27" t="s">
        <v>802</v>
      </c>
    </row>
    <row r="5" spans="1:9">
      <c r="A5" s="19" t="str">
        <f>+B5&amp;C5</f>
        <v>ANTIOQUIAAPARTADÓ</v>
      </c>
      <c r="B5" s="14" t="s">
        <v>698</v>
      </c>
      <c r="C5" s="14" t="s">
        <v>766</v>
      </c>
      <c r="D5" s="14">
        <v>8</v>
      </c>
      <c r="E5" s="15">
        <v>187.928</v>
      </c>
      <c r="F5" s="14">
        <v>8</v>
      </c>
      <c r="G5" s="15">
        <v>180.92599999999999</v>
      </c>
      <c r="H5" s="14">
        <v>8</v>
      </c>
      <c r="I5" s="32">
        <v>46.853000000000002</v>
      </c>
    </row>
    <row r="6" spans="1:9">
      <c r="A6" s="19" t="str">
        <f t="shared" ref="A6:A69" si="0">+B6&amp;C6</f>
        <v>ANTIOQUIABARBOSA</v>
      </c>
      <c r="B6" s="14" t="s">
        <v>698</v>
      </c>
      <c r="C6" s="14" t="s">
        <v>788</v>
      </c>
      <c r="D6" s="14"/>
      <c r="E6" s="15"/>
      <c r="F6" s="14"/>
      <c r="G6" s="15"/>
      <c r="H6" s="14">
        <v>1</v>
      </c>
      <c r="I6" s="32">
        <v>0.11899999999999999</v>
      </c>
    </row>
    <row r="7" spans="1:9">
      <c r="A7" s="19" t="str">
        <f t="shared" si="0"/>
        <v>ANTIOQUIABELLO</v>
      </c>
      <c r="B7" s="14" t="s">
        <v>698</v>
      </c>
      <c r="C7" s="14" t="s">
        <v>751</v>
      </c>
      <c r="D7" s="14">
        <v>10</v>
      </c>
      <c r="E7" s="15">
        <v>680.72500000000002</v>
      </c>
      <c r="F7" s="14">
        <v>12</v>
      </c>
      <c r="G7" s="15">
        <v>707.76300000000003</v>
      </c>
      <c r="H7" s="14">
        <v>11</v>
      </c>
      <c r="I7" s="32">
        <v>209.48</v>
      </c>
    </row>
    <row r="8" spans="1:9">
      <c r="A8" s="19" t="str">
        <f t="shared" si="0"/>
        <v>ANTIOQUIACAUCASIA</v>
      </c>
      <c r="B8" s="14" t="s">
        <v>698</v>
      </c>
      <c r="C8" s="14" t="s">
        <v>733</v>
      </c>
      <c r="D8" s="14">
        <v>4</v>
      </c>
      <c r="E8" s="15">
        <v>102.988</v>
      </c>
      <c r="F8" s="14">
        <v>4</v>
      </c>
      <c r="G8" s="15">
        <v>110.517</v>
      </c>
      <c r="H8" s="14">
        <v>4</v>
      </c>
      <c r="I8" s="32">
        <v>31.951000000000001</v>
      </c>
    </row>
    <row r="9" spans="1:9">
      <c r="A9" s="19" t="str">
        <f t="shared" si="0"/>
        <v>ANTIOQUIAENVIGADO</v>
      </c>
      <c r="B9" s="14" t="s">
        <v>698</v>
      </c>
      <c r="C9" s="14" t="s">
        <v>702</v>
      </c>
      <c r="D9" s="14">
        <v>21</v>
      </c>
      <c r="E9" s="15">
        <v>957.61699999999996</v>
      </c>
      <c r="F9" s="14">
        <v>21</v>
      </c>
      <c r="G9" s="15">
        <v>1062.5740000000001</v>
      </c>
      <c r="H9" s="14">
        <v>21</v>
      </c>
      <c r="I9" s="32">
        <v>332.51900000000001</v>
      </c>
    </row>
    <row r="10" spans="1:9">
      <c r="A10" s="19" t="str">
        <f t="shared" si="0"/>
        <v>ANTIOQUIAITAGÜÍ</v>
      </c>
      <c r="B10" s="14" t="s">
        <v>698</v>
      </c>
      <c r="C10" s="14" t="s">
        <v>728</v>
      </c>
      <c r="D10" s="14">
        <v>5</v>
      </c>
      <c r="E10" s="15">
        <v>124.14</v>
      </c>
      <c r="F10" s="14">
        <v>5</v>
      </c>
      <c r="G10" s="15">
        <v>113.49</v>
      </c>
      <c r="H10" s="14">
        <v>5</v>
      </c>
      <c r="I10" s="32">
        <v>30.965</v>
      </c>
    </row>
    <row r="11" spans="1:9">
      <c r="A11" s="19" t="str">
        <f t="shared" si="0"/>
        <v>ANTIOQUIALA CEJA</v>
      </c>
      <c r="B11" s="14" t="s">
        <v>698</v>
      </c>
      <c r="C11" s="14" t="s">
        <v>758</v>
      </c>
      <c r="D11" s="14">
        <v>4</v>
      </c>
      <c r="E11" s="15">
        <v>111.258</v>
      </c>
      <c r="F11" s="14">
        <v>4</v>
      </c>
      <c r="G11" s="15">
        <v>110.93600000000001</v>
      </c>
      <c r="H11" s="14">
        <v>4</v>
      </c>
      <c r="I11" s="32">
        <v>32.265999999999998</v>
      </c>
    </row>
    <row r="12" spans="1:9">
      <c r="A12" s="19" t="str">
        <f t="shared" si="0"/>
        <v>ANTIOQUIAMEDELLÍN</v>
      </c>
      <c r="B12" s="14" t="s">
        <v>698</v>
      </c>
      <c r="C12" s="14" t="s">
        <v>699</v>
      </c>
      <c r="D12" s="14">
        <v>101</v>
      </c>
      <c r="E12" s="15">
        <v>3012.34</v>
      </c>
      <c r="F12" s="14">
        <v>100</v>
      </c>
      <c r="G12" s="15">
        <v>2961.7939999999999</v>
      </c>
      <c r="H12" s="14">
        <v>100</v>
      </c>
      <c r="I12" s="32">
        <v>907.38300000000004</v>
      </c>
    </row>
    <row r="13" spans="1:9">
      <c r="A13" s="19" t="str">
        <f t="shared" si="0"/>
        <v>ANTIOQUIARIONEGRO</v>
      </c>
      <c r="B13" s="14" t="s">
        <v>698</v>
      </c>
      <c r="C13" s="14" t="s">
        <v>763</v>
      </c>
      <c r="D13" s="14">
        <v>11</v>
      </c>
      <c r="E13" s="15">
        <v>353.75299999999999</v>
      </c>
      <c r="F13" s="14">
        <v>11</v>
      </c>
      <c r="G13" s="15">
        <v>380.12</v>
      </c>
      <c r="H13" s="14">
        <v>11</v>
      </c>
      <c r="I13" s="32">
        <v>102.792</v>
      </c>
    </row>
    <row r="14" spans="1:9">
      <c r="A14" s="19" t="str">
        <f t="shared" si="0"/>
        <v>ANTIOQUIASABANETA</v>
      </c>
      <c r="B14" s="14" t="s">
        <v>698</v>
      </c>
      <c r="C14" s="14" t="s">
        <v>746</v>
      </c>
      <c r="D14" s="14">
        <v>21</v>
      </c>
      <c r="E14" s="15">
        <v>951.83</v>
      </c>
      <c r="F14" s="14">
        <v>21</v>
      </c>
      <c r="G14" s="15">
        <v>1053.5809999999999</v>
      </c>
      <c r="H14" s="14">
        <v>21</v>
      </c>
      <c r="I14" s="32">
        <v>315.73599999999999</v>
      </c>
    </row>
    <row r="15" spans="1:9">
      <c r="A15" s="19" t="str">
        <f t="shared" si="0"/>
        <v>ATLANTICOBARRANQUILLA</v>
      </c>
      <c r="B15" s="14" t="s">
        <v>665</v>
      </c>
      <c r="C15" s="14" t="s">
        <v>666</v>
      </c>
      <c r="D15" s="14">
        <v>50</v>
      </c>
      <c r="E15" s="15">
        <v>2205.6610000000001</v>
      </c>
      <c r="F15" s="14">
        <v>50</v>
      </c>
      <c r="G15" s="15">
        <v>2262.4360000000001</v>
      </c>
      <c r="H15" s="14">
        <v>50</v>
      </c>
      <c r="I15" s="32">
        <v>630.94600000000003</v>
      </c>
    </row>
    <row r="16" spans="1:9">
      <c r="A16" s="19" t="str">
        <f t="shared" si="0"/>
        <v>ATLANTICOSANTO TOMÁS</v>
      </c>
      <c r="B16" s="14" t="s">
        <v>665</v>
      </c>
      <c r="C16" s="14" t="s">
        <v>676</v>
      </c>
      <c r="D16" s="14">
        <v>2</v>
      </c>
      <c r="E16" s="15">
        <v>53.402999999999999</v>
      </c>
      <c r="F16" s="14">
        <v>2</v>
      </c>
      <c r="G16" s="15">
        <v>50.598999999999997</v>
      </c>
      <c r="H16" s="14">
        <v>2</v>
      </c>
      <c r="I16" s="32">
        <v>12.177</v>
      </c>
    </row>
    <row r="17" spans="1:9">
      <c r="A17" s="19" t="str">
        <f t="shared" si="0"/>
        <v>ATLANTICOSOLEDAD</v>
      </c>
      <c r="B17" s="14" t="s">
        <v>665</v>
      </c>
      <c r="C17" s="14" t="s">
        <v>687</v>
      </c>
      <c r="D17" s="14">
        <v>13</v>
      </c>
      <c r="E17" s="15">
        <v>392.416</v>
      </c>
      <c r="F17" s="14">
        <v>13</v>
      </c>
      <c r="G17" s="15">
        <v>348.834</v>
      </c>
      <c r="H17" s="14">
        <v>13</v>
      </c>
      <c r="I17" s="32">
        <v>95.694999999999993</v>
      </c>
    </row>
    <row r="18" spans="1:9">
      <c r="A18" s="19" t="str">
        <f t="shared" si="0"/>
        <v>BOGOTA. D.C.BOGOTA. D.C.</v>
      </c>
      <c r="B18" s="14" t="s">
        <v>544</v>
      </c>
      <c r="C18" s="14" t="s">
        <v>544</v>
      </c>
      <c r="D18" s="14">
        <v>357</v>
      </c>
      <c r="E18" s="15">
        <v>15823.976000000001</v>
      </c>
      <c r="F18" s="14">
        <v>341</v>
      </c>
      <c r="G18" s="15">
        <v>15519.423000000001</v>
      </c>
      <c r="H18" s="14">
        <v>332</v>
      </c>
      <c r="I18" s="32">
        <v>4556.6289999999999</v>
      </c>
    </row>
    <row r="19" spans="1:9">
      <c r="A19" s="19" t="str">
        <f t="shared" si="0"/>
        <v>BOLIVARCARTAGENA DE INDIAS</v>
      </c>
      <c r="B19" s="14" t="s">
        <v>524</v>
      </c>
      <c r="C19" s="14" t="s">
        <v>525</v>
      </c>
      <c r="D19" s="14">
        <v>26</v>
      </c>
      <c r="E19" s="15">
        <v>1085.8340000000001</v>
      </c>
      <c r="F19" s="14">
        <v>26</v>
      </c>
      <c r="G19" s="15">
        <v>1122.7270000000001</v>
      </c>
      <c r="H19" s="14">
        <v>24</v>
      </c>
      <c r="I19" s="32">
        <v>314.62200000000001</v>
      </c>
    </row>
    <row r="20" spans="1:9">
      <c r="A20" s="19" t="str">
        <f t="shared" si="0"/>
        <v>BOLIVARMAGANGUÉ</v>
      </c>
      <c r="B20" s="14" t="s">
        <v>524</v>
      </c>
      <c r="C20" s="14" t="s">
        <v>540</v>
      </c>
      <c r="D20" s="14">
        <v>2</v>
      </c>
      <c r="E20" s="15">
        <v>69.867999999999995</v>
      </c>
      <c r="F20" s="14">
        <v>2</v>
      </c>
      <c r="G20" s="15">
        <v>46.792999999999999</v>
      </c>
      <c r="H20" s="14">
        <v>2</v>
      </c>
      <c r="I20" s="32">
        <v>11.718</v>
      </c>
    </row>
    <row r="21" spans="1:9">
      <c r="A21" s="19" t="str">
        <f t="shared" si="0"/>
        <v>BOLIVARTURBACO</v>
      </c>
      <c r="B21" s="14" t="s">
        <v>524</v>
      </c>
      <c r="C21" s="14" t="s">
        <v>536</v>
      </c>
      <c r="D21" s="14">
        <v>6</v>
      </c>
      <c r="E21" s="15">
        <v>104.05200000000001</v>
      </c>
      <c r="F21" s="14">
        <v>6</v>
      </c>
      <c r="G21" s="15">
        <v>90.25</v>
      </c>
      <c r="H21" s="14">
        <v>6</v>
      </c>
      <c r="I21" s="32">
        <v>22.882999999999999</v>
      </c>
    </row>
    <row r="22" spans="1:9">
      <c r="A22" s="19" t="str">
        <f t="shared" si="0"/>
        <v>BOYACACHIQUINQUIRÁ</v>
      </c>
      <c r="B22" s="14" t="s">
        <v>495</v>
      </c>
      <c r="C22" s="14" t="s">
        <v>496</v>
      </c>
      <c r="D22" s="14">
        <v>1</v>
      </c>
      <c r="E22" s="15">
        <v>24.626000000000001</v>
      </c>
      <c r="F22" s="14">
        <v>1</v>
      </c>
      <c r="G22" s="15">
        <v>31.446999999999999</v>
      </c>
      <c r="H22" s="14">
        <v>1</v>
      </c>
      <c r="I22" s="32">
        <v>7.5780000000000003</v>
      </c>
    </row>
    <row r="23" spans="1:9">
      <c r="A23" s="19" t="str">
        <f t="shared" si="0"/>
        <v>BOYACADUITAMA</v>
      </c>
      <c r="B23" s="14" t="s">
        <v>495</v>
      </c>
      <c r="C23" s="14" t="s">
        <v>508</v>
      </c>
      <c r="D23" s="14">
        <v>5</v>
      </c>
      <c r="E23" s="15">
        <v>143.483</v>
      </c>
      <c r="F23" s="14">
        <v>5</v>
      </c>
      <c r="G23" s="15">
        <v>133.38399999999999</v>
      </c>
      <c r="H23" s="14">
        <v>5</v>
      </c>
      <c r="I23" s="32">
        <v>31.294</v>
      </c>
    </row>
    <row r="24" spans="1:9">
      <c r="A24" s="19" t="str">
        <f t="shared" si="0"/>
        <v>BOYACAGARAGOA</v>
      </c>
      <c r="B24" s="14" t="s">
        <v>495</v>
      </c>
      <c r="C24" s="14" t="s">
        <v>521</v>
      </c>
      <c r="D24" s="14">
        <v>1</v>
      </c>
      <c r="E24" s="15">
        <v>10.423</v>
      </c>
      <c r="F24" s="14">
        <v>1</v>
      </c>
      <c r="G24" s="15">
        <v>9.0609999999999999</v>
      </c>
      <c r="H24" s="14">
        <v>1</v>
      </c>
      <c r="I24" s="32">
        <v>2.7269999999999999</v>
      </c>
    </row>
    <row r="25" spans="1:9">
      <c r="A25" s="19" t="str">
        <f t="shared" si="0"/>
        <v>BOYACAPUERTO BOYACÁ</v>
      </c>
      <c r="B25" s="14" t="s">
        <v>495</v>
      </c>
      <c r="C25" s="14" t="s">
        <v>517</v>
      </c>
      <c r="D25" s="14">
        <v>2</v>
      </c>
      <c r="E25" s="15">
        <v>36.384</v>
      </c>
      <c r="F25" s="14">
        <v>2</v>
      </c>
      <c r="G25" s="15">
        <v>33.930999999999997</v>
      </c>
      <c r="H25" s="14">
        <v>2</v>
      </c>
      <c r="I25" s="32">
        <v>10.178000000000001</v>
      </c>
    </row>
    <row r="26" spans="1:9">
      <c r="A26" s="19" t="str">
        <f t="shared" si="0"/>
        <v>BOYACASOGAMOSO</v>
      </c>
      <c r="B26" s="14" t="s">
        <v>495</v>
      </c>
      <c r="C26" s="14" t="s">
        <v>505</v>
      </c>
      <c r="D26" s="14">
        <v>3</v>
      </c>
      <c r="E26" s="15">
        <v>87.832999999999998</v>
      </c>
      <c r="F26" s="14">
        <v>3</v>
      </c>
      <c r="G26" s="15">
        <v>92.93</v>
      </c>
      <c r="H26" s="14">
        <v>3</v>
      </c>
      <c r="I26" s="32">
        <v>17.526</v>
      </c>
    </row>
    <row r="27" spans="1:9">
      <c r="A27" s="19" t="str">
        <f t="shared" si="0"/>
        <v>BOYACATUNJA</v>
      </c>
      <c r="B27" s="14" t="s">
        <v>495</v>
      </c>
      <c r="C27" s="14" t="s">
        <v>499</v>
      </c>
      <c r="D27" s="14">
        <v>10</v>
      </c>
      <c r="E27" s="15">
        <v>356.65899999999999</v>
      </c>
      <c r="F27" s="14">
        <v>10</v>
      </c>
      <c r="G27" s="15">
        <v>371.75900000000001</v>
      </c>
      <c r="H27" s="14">
        <v>11</v>
      </c>
      <c r="I27" s="32">
        <v>96.823999999999998</v>
      </c>
    </row>
    <row r="28" spans="1:9">
      <c r="A28" s="19" t="str">
        <f t="shared" si="0"/>
        <v>CALDASCHINCHINÁ</v>
      </c>
      <c r="B28" s="14" t="s">
        <v>467</v>
      </c>
      <c r="C28" s="14" t="s">
        <v>486</v>
      </c>
      <c r="D28" s="14"/>
      <c r="E28" s="15"/>
      <c r="F28" s="14"/>
      <c r="G28" s="15"/>
      <c r="H28" s="14">
        <v>1</v>
      </c>
      <c r="I28" s="32">
        <v>0.41899999999999998</v>
      </c>
    </row>
    <row r="29" spans="1:9">
      <c r="A29" s="19" t="str">
        <f t="shared" si="0"/>
        <v>CALDASLA DORADA</v>
      </c>
      <c r="B29" s="14" t="s">
        <v>467</v>
      </c>
      <c r="C29" s="14" t="s">
        <v>489</v>
      </c>
      <c r="D29" s="14">
        <v>2</v>
      </c>
      <c r="E29" s="15">
        <v>18.498999999999999</v>
      </c>
      <c r="F29" s="14">
        <v>2</v>
      </c>
      <c r="G29" s="15">
        <v>15.097</v>
      </c>
      <c r="H29" s="14">
        <v>2</v>
      </c>
      <c r="I29" s="32">
        <v>4.8760000000000003</v>
      </c>
    </row>
    <row r="30" spans="1:9">
      <c r="A30" s="19" t="str">
        <f t="shared" si="0"/>
        <v>CALDASMANIZALES</v>
      </c>
      <c r="B30" s="14" t="s">
        <v>467</v>
      </c>
      <c r="C30" s="14" t="s">
        <v>468</v>
      </c>
      <c r="D30" s="14">
        <v>20</v>
      </c>
      <c r="E30" s="15">
        <v>722.92100000000005</v>
      </c>
      <c r="F30" s="14">
        <v>22</v>
      </c>
      <c r="G30" s="15">
        <v>695.52300000000002</v>
      </c>
      <c r="H30" s="14">
        <v>21</v>
      </c>
      <c r="I30" s="32">
        <v>194.17599999999999</v>
      </c>
    </row>
    <row r="31" spans="1:9">
      <c r="A31" s="19" t="str">
        <f t="shared" si="0"/>
        <v>CAQUETÁFLORENCIA</v>
      </c>
      <c r="B31" s="14" t="s">
        <v>463</v>
      </c>
      <c r="C31" s="14" t="s">
        <v>464</v>
      </c>
      <c r="D31" s="14">
        <v>5</v>
      </c>
      <c r="E31" s="15">
        <v>253.80099999999999</v>
      </c>
      <c r="F31" s="14">
        <v>5</v>
      </c>
      <c r="G31" s="15">
        <v>246.05099999999999</v>
      </c>
      <c r="H31" s="14">
        <v>5</v>
      </c>
      <c r="I31" s="32">
        <v>68.805000000000007</v>
      </c>
    </row>
    <row r="32" spans="1:9">
      <c r="A32" s="19" t="str">
        <f t="shared" si="0"/>
        <v>CASANAREAGUAZUL</v>
      </c>
      <c r="B32" s="14" t="s">
        <v>448</v>
      </c>
      <c r="C32" s="14" t="s">
        <v>460</v>
      </c>
      <c r="D32" s="14">
        <v>1</v>
      </c>
      <c r="E32" s="15">
        <v>24.594999999999999</v>
      </c>
      <c r="F32" s="14">
        <v>1</v>
      </c>
      <c r="G32" s="15">
        <v>22.128</v>
      </c>
      <c r="H32" s="14">
        <v>1</v>
      </c>
      <c r="I32" s="32">
        <v>5.2220000000000004</v>
      </c>
    </row>
    <row r="33" spans="1:9">
      <c r="A33" s="19" t="str">
        <f t="shared" si="0"/>
        <v>CASANAREVILLANUEVA</v>
      </c>
      <c r="B33" s="14" t="s">
        <v>448</v>
      </c>
      <c r="C33" s="14" t="s">
        <v>456</v>
      </c>
      <c r="D33" s="14">
        <v>1</v>
      </c>
      <c r="E33" s="15">
        <v>13.446</v>
      </c>
      <c r="F33" s="14">
        <v>1</v>
      </c>
      <c r="G33" s="15">
        <v>10.68</v>
      </c>
      <c r="H33" s="14">
        <v>1</v>
      </c>
      <c r="I33" s="32">
        <v>2.7450000000000001</v>
      </c>
    </row>
    <row r="34" spans="1:9">
      <c r="A34" s="19" t="str">
        <f t="shared" si="0"/>
        <v>CASANAREYOPAL</v>
      </c>
      <c r="B34" s="14" t="s">
        <v>448</v>
      </c>
      <c r="C34" s="14" t="s">
        <v>449</v>
      </c>
      <c r="D34" s="14">
        <v>7</v>
      </c>
      <c r="E34" s="15">
        <v>285.95600000000002</v>
      </c>
      <c r="F34" s="14">
        <v>7</v>
      </c>
      <c r="G34" s="15">
        <v>275.29599999999999</v>
      </c>
      <c r="H34" s="14">
        <v>7</v>
      </c>
      <c r="I34" s="32">
        <v>66.616</v>
      </c>
    </row>
    <row r="35" spans="1:9">
      <c r="A35" s="19" t="str">
        <f t="shared" si="0"/>
        <v>CAUCAPOPAYÁN</v>
      </c>
      <c r="B35" s="14" t="s">
        <v>442</v>
      </c>
      <c r="C35" s="14" t="s">
        <v>443</v>
      </c>
      <c r="D35" s="14">
        <v>10</v>
      </c>
      <c r="E35" s="15">
        <v>516.98199999999997</v>
      </c>
      <c r="F35" s="14">
        <v>10</v>
      </c>
      <c r="G35" s="15">
        <v>535.83199999999999</v>
      </c>
      <c r="H35" s="14">
        <v>10</v>
      </c>
      <c r="I35" s="32">
        <v>144.11799999999999</v>
      </c>
    </row>
    <row r="36" spans="1:9">
      <c r="A36" s="19" t="str">
        <f t="shared" si="0"/>
        <v>CESARAGUACHICA</v>
      </c>
      <c r="B36" s="14" t="s">
        <v>425</v>
      </c>
      <c r="C36" s="14" t="s">
        <v>439</v>
      </c>
      <c r="D36" s="14">
        <v>2</v>
      </c>
      <c r="E36" s="15">
        <v>54.439</v>
      </c>
      <c r="F36" s="14">
        <v>2</v>
      </c>
      <c r="G36" s="15">
        <v>53.362000000000002</v>
      </c>
      <c r="H36" s="14">
        <v>2</v>
      </c>
      <c r="I36" s="32">
        <v>13.119</v>
      </c>
    </row>
    <row r="37" spans="1:9">
      <c r="A37" s="19" t="str">
        <f t="shared" si="0"/>
        <v>CESARVALLEDUPAR</v>
      </c>
      <c r="B37" s="14" t="s">
        <v>425</v>
      </c>
      <c r="C37" s="14" t="s">
        <v>426</v>
      </c>
      <c r="D37" s="14">
        <v>21</v>
      </c>
      <c r="E37" s="15">
        <v>447.55599999999998</v>
      </c>
      <c r="F37" s="14">
        <v>21</v>
      </c>
      <c r="G37" s="15">
        <v>453.07400000000001</v>
      </c>
      <c r="H37" s="14">
        <v>21</v>
      </c>
      <c r="I37" s="32">
        <v>110.524</v>
      </c>
    </row>
    <row r="38" spans="1:9">
      <c r="A38" s="19" t="str">
        <f t="shared" si="0"/>
        <v>CHOCOQUIBDO</v>
      </c>
      <c r="B38" s="14" t="s">
        <v>420</v>
      </c>
      <c r="C38" s="14" t="s">
        <v>421</v>
      </c>
      <c r="D38" s="14">
        <v>4</v>
      </c>
      <c r="E38" s="15">
        <v>58.64</v>
      </c>
      <c r="F38" s="14">
        <v>4</v>
      </c>
      <c r="G38" s="15">
        <v>54.003999999999998</v>
      </c>
      <c r="H38" s="14">
        <v>4</v>
      </c>
      <c r="I38" s="32">
        <v>15.914999999999999</v>
      </c>
    </row>
    <row r="39" spans="1:9">
      <c r="A39" s="19" t="str">
        <f t="shared" si="0"/>
        <v>CORDOBACERETÉ</v>
      </c>
      <c r="B39" s="14" t="s">
        <v>400</v>
      </c>
      <c r="C39" s="14" t="s">
        <v>408</v>
      </c>
      <c r="D39" s="14">
        <v>1</v>
      </c>
      <c r="E39" s="15">
        <v>13.904999999999999</v>
      </c>
      <c r="F39" s="14">
        <v>1</v>
      </c>
      <c r="G39" s="15">
        <v>8.1479999999999997</v>
      </c>
      <c r="H39" s="14">
        <v>1</v>
      </c>
      <c r="I39" s="32">
        <v>1.591</v>
      </c>
    </row>
    <row r="40" spans="1:9">
      <c r="A40" s="19" t="str">
        <f t="shared" si="0"/>
        <v>CORDOBAMONTELÍBANO</v>
      </c>
      <c r="B40" s="14" t="s">
        <v>400</v>
      </c>
      <c r="C40" s="14" t="s">
        <v>414</v>
      </c>
      <c r="D40" s="14">
        <v>1</v>
      </c>
      <c r="E40" s="15">
        <v>12.612</v>
      </c>
      <c r="F40" s="14">
        <v>1</v>
      </c>
      <c r="G40" s="15">
        <v>9.5820000000000007</v>
      </c>
      <c r="H40" s="14">
        <v>1</v>
      </c>
      <c r="I40" s="32">
        <v>2.327</v>
      </c>
    </row>
    <row r="41" spans="1:9">
      <c r="A41" s="19" t="str">
        <f t="shared" si="0"/>
        <v>CORDOBAMONTERÍA</v>
      </c>
      <c r="B41" s="14" t="s">
        <v>400</v>
      </c>
      <c r="C41" s="14" t="s">
        <v>401</v>
      </c>
      <c r="D41" s="14">
        <v>15</v>
      </c>
      <c r="E41" s="15">
        <v>610.971</v>
      </c>
      <c r="F41" s="14">
        <v>15</v>
      </c>
      <c r="G41" s="15">
        <v>592.10299999999995</v>
      </c>
      <c r="H41" s="14">
        <v>15</v>
      </c>
      <c r="I41" s="32">
        <v>155.10300000000001</v>
      </c>
    </row>
    <row r="42" spans="1:9">
      <c r="A42" s="19" t="str">
        <f t="shared" si="0"/>
        <v>CORDOBASAHAGÚN</v>
      </c>
      <c r="B42" s="14" t="s">
        <v>400</v>
      </c>
      <c r="C42" s="14" t="s">
        <v>417</v>
      </c>
      <c r="D42" s="14">
        <v>1</v>
      </c>
      <c r="E42" s="15">
        <v>10.974</v>
      </c>
      <c r="F42" s="14">
        <v>1</v>
      </c>
      <c r="G42" s="15">
        <v>9.59</v>
      </c>
      <c r="H42" s="14">
        <v>1</v>
      </c>
      <c r="I42" s="32">
        <v>2.0419999999999998</v>
      </c>
    </row>
    <row r="43" spans="1:9">
      <c r="A43" s="19" t="str">
        <f t="shared" si="0"/>
        <v>CUNDINAMARCAAGUA DE DIOS</v>
      </c>
      <c r="B43" s="14" t="s">
        <v>338</v>
      </c>
      <c r="C43" s="14" t="s">
        <v>391</v>
      </c>
      <c r="D43" s="14"/>
      <c r="E43" s="15"/>
      <c r="F43" s="14">
        <v>1</v>
      </c>
      <c r="G43" s="15">
        <v>6.7080000000000002</v>
      </c>
      <c r="H43" s="14">
        <v>1</v>
      </c>
      <c r="I43" s="32">
        <v>2.2410000000000001</v>
      </c>
    </row>
    <row r="44" spans="1:9">
      <c r="A44" s="19" t="str">
        <f t="shared" si="0"/>
        <v>CUNDINAMARCACHÍA</v>
      </c>
      <c r="B44" s="14" t="s">
        <v>338</v>
      </c>
      <c r="C44" s="14" t="s">
        <v>342</v>
      </c>
      <c r="D44" s="14">
        <v>19</v>
      </c>
      <c r="E44" s="15">
        <v>1034.415</v>
      </c>
      <c r="F44" s="14">
        <v>19</v>
      </c>
      <c r="G44" s="15">
        <v>1084.3040000000001</v>
      </c>
      <c r="H44" s="14">
        <v>19</v>
      </c>
      <c r="I44" s="32">
        <v>324.24700000000001</v>
      </c>
    </row>
    <row r="45" spans="1:9">
      <c r="A45" s="19" t="str">
        <f t="shared" si="0"/>
        <v>CUNDINAMARCAFACATATIVÁ</v>
      </c>
      <c r="B45" s="14" t="s">
        <v>338</v>
      </c>
      <c r="C45" s="14" t="s">
        <v>379</v>
      </c>
      <c r="D45" s="14">
        <v>3</v>
      </c>
      <c r="E45" s="15">
        <v>86.908000000000001</v>
      </c>
      <c r="F45" s="14">
        <v>3</v>
      </c>
      <c r="G45" s="15">
        <v>79.858999999999995</v>
      </c>
      <c r="H45" s="14">
        <v>3</v>
      </c>
      <c r="I45" s="32">
        <v>17.696999999999999</v>
      </c>
    </row>
    <row r="46" spans="1:9">
      <c r="A46" s="19" t="str">
        <f t="shared" si="0"/>
        <v>CUNDINAMARCAFUSAGASUGÁ</v>
      </c>
      <c r="B46" s="14" t="s">
        <v>338</v>
      </c>
      <c r="C46" s="14" t="s">
        <v>339</v>
      </c>
      <c r="D46" s="14">
        <v>7</v>
      </c>
      <c r="E46" s="15">
        <v>299.892</v>
      </c>
      <c r="F46" s="14">
        <v>7</v>
      </c>
      <c r="G46" s="15">
        <v>302.911</v>
      </c>
      <c r="H46" s="14">
        <v>7</v>
      </c>
      <c r="I46" s="32">
        <v>85.298000000000002</v>
      </c>
    </row>
    <row r="47" spans="1:9">
      <c r="A47" s="19" t="str">
        <f t="shared" si="0"/>
        <v>CUNDINAMARCAGIRARDOT</v>
      </c>
      <c r="B47" s="14" t="s">
        <v>338</v>
      </c>
      <c r="C47" s="14" t="s">
        <v>350</v>
      </c>
      <c r="D47" s="14">
        <v>4</v>
      </c>
      <c r="E47" s="15">
        <v>191.74700000000001</v>
      </c>
      <c r="F47" s="14">
        <v>4</v>
      </c>
      <c r="G47" s="15">
        <v>188.762</v>
      </c>
      <c r="H47" s="14">
        <v>4</v>
      </c>
      <c r="I47" s="32">
        <v>55.179000000000002</v>
      </c>
    </row>
    <row r="48" spans="1:9">
      <c r="A48" s="19" t="str">
        <f t="shared" si="0"/>
        <v>CUNDINAMARCALA CALERA</v>
      </c>
      <c r="B48" s="14" t="s">
        <v>338</v>
      </c>
      <c r="C48" s="14" t="s">
        <v>382</v>
      </c>
      <c r="D48" s="14">
        <v>2</v>
      </c>
      <c r="E48" s="15">
        <v>15.388</v>
      </c>
      <c r="F48" s="14">
        <v>3</v>
      </c>
      <c r="G48" s="15">
        <v>46.290999999999997</v>
      </c>
      <c r="H48" s="14">
        <v>3</v>
      </c>
      <c r="I48" s="32">
        <v>10.712999999999999</v>
      </c>
    </row>
    <row r="49" spans="1:9">
      <c r="A49" s="19" t="str">
        <f t="shared" si="0"/>
        <v>CUNDINAMARCALA MESA</v>
      </c>
      <c r="B49" s="14" t="s">
        <v>338</v>
      </c>
      <c r="C49" s="14" t="s">
        <v>369</v>
      </c>
      <c r="D49" s="14">
        <v>6</v>
      </c>
      <c r="E49" s="15">
        <v>85.23</v>
      </c>
      <c r="F49" s="14">
        <v>3</v>
      </c>
      <c r="G49" s="15">
        <v>72.406999999999996</v>
      </c>
      <c r="H49" s="14">
        <v>3</v>
      </c>
      <c r="I49" s="32">
        <v>25.280999999999999</v>
      </c>
    </row>
    <row r="50" spans="1:9">
      <c r="A50" s="19" t="str">
        <f t="shared" si="0"/>
        <v>CUNDINAMARCAMADRID</v>
      </c>
      <c r="B50" s="14" t="s">
        <v>338</v>
      </c>
      <c r="C50" s="14" t="s">
        <v>356</v>
      </c>
      <c r="D50" s="14">
        <v>4</v>
      </c>
      <c r="E50" s="15">
        <v>147.51300000000001</v>
      </c>
      <c r="F50" s="14">
        <v>4</v>
      </c>
      <c r="G50" s="15">
        <v>142.749</v>
      </c>
      <c r="H50" s="14">
        <v>4</v>
      </c>
      <c r="I50" s="32">
        <v>40.045000000000002</v>
      </c>
    </row>
    <row r="51" spans="1:9">
      <c r="A51" s="19" t="str">
        <f t="shared" si="0"/>
        <v>CUNDINAMARCAMOSQUERA</v>
      </c>
      <c r="B51" s="14" t="s">
        <v>338</v>
      </c>
      <c r="C51" s="14" t="s">
        <v>353</v>
      </c>
      <c r="D51" s="14">
        <v>5</v>
      </c>
      <c r="E51" s="15">
        <v>296.65899999999999</v>
      </c>
      <c r="F51" s="14">
        <v>8</v>
      </c>
      <c r="G51" s="15">
        <v>324.149</v>
      </c>
      <c r="H51" s="14">
        <v>7</v>
      </c>
      <c r="I51" s="32">
        <v>87.74</v>
      </c>
    </row>
    <row r="52" spans="1:9">
      <c r="A52" s="19" t="str">
        <f t="shared" si="0"/>
        <v>CUNDINAMARCAPACHO</v>
      </c>
      <c r="B52" s="14" t="s">
        <v>338</v>
      </c>
      <c r="C52" s="14" t="s">
        <v>360</v>
      </c>
      <c r="D52" s="14">
        <v>2</v>
      </c>
      <c r="E52" s="15">
        <v>2.62</v>
      </c>
      <c r="F52" s="14">
        <v>2</v>
      </c>
      <c r="G52" s="15">
        <v>13.693</v>
      </c>
      <c r="H52" s="14">
        <v>2</v>
      </c>
      <c r="I52" s="32">
        <v>3.41</v>
      </c>
    </row>
    <row r="53" spans="1:9">
      <c r="A53" s="19" t="str">
        <f t="shared" si="0"/>
        <v>CUNDINAMARCASOACHA</v>
      </c>
      <c r="B53" s="14" t="s">
        <v>338</v>
      </c>
      <c r="C53" s="14" t="s">
        <v>345</v>
      </c>
      <c r="D53" s="14">
        <v>18</v>
      </c>
      <c r="E53" s="15">
        <v>1015.878</v>
      </c>
      <c r="F53" s="14">
        <v>24</v>
      </c>
      <c r="G53" s="15">
        <v>1194.2529999999999</v>
      </c>
      <c r="H53" s="14">
        <v>24</v>
      </c>
      <c r="I53" s="32">
        <v>332.88299999999998</v>
      </c>
    </row>
    <row r="54" spans="1:9">
      <c r="A54" s="19" t="str">
        <f t="shared" si="0"/>
        <v>CUNDINAMARCAVILLETA</v>
      </c>
      <c r="B54" s="14" t="s">
        <v>338</v>
      </c>
      <c r="C54" s="14" t="s">
        <v>394</v>
      </c>
      <c r="D54" s="14">
        <v>1</v>
      </c>
      <c r="E54" s="15">
        <v>6.2969999999999997</v>
      </c>
      <c r="F54" s="14">
        <v>1</v>
      </c>
      <c r="G54" s="15">
        <v>4.8600000000000003</v>
      </c>
      <c r="H54" s="14">
        <v>1</v>
      </c>
      <c r="I54" s="32">
        <v>1.149</v>
      </c>
    </row>
    <row r="55" spans="1:9">
      <c r="A55" s="19" t="str">
        <f t="shared" si="0"/>
        <v>CUNDINAMARCAZIPAQUIRÁ</v>
      </c>
      <c r="B55" s="14" t="s">
        <v>338</v>
      </c>
      <c r="C55" s="14" t="s">
        <v>376</v>
      </c>
      <c r="D55" s="14">
        <v>4</v>
      </c>
      <c r="E55" s="15">
        <v>117.946</v>
      </c>
      <c r="F55" s="14">
        <v>4</v>
      </c>
      <c r="G55" s="15">
        <v>104.23099999999999</v>
      </c>
      <c r="H55" s="14">
        <v>4</v>
      </c>
      <c r="I55" s="32">
        <v>24.334</v>
      </c>
    </row>
    <row r="56" spans="1:9">
      <c r="A56" s="19" t="str">
        <f t="shared" si="0"/>
        <v>GUAVIARESAN JOSÉ DEL GUAVIARE</v>
      </c>
      <c r="B56" s="14" t="s">
        <v>334</v>
      </c>
      <c r="C56" s="14" t="s">
        <v>335</v>
      </c>
      <c r="D56" s="14">
        <v>2</v>
      </c>
      <c r="E56" s="15">
        <v>43.387999999999998</v>
      </c>
      <c r="F56" s="14">
        <v>2</v>
      </c>
      <c r="G56" s="15">
        <v>42.469000000000001</v>
      </c>
      <c r="H56" s="14">
        <v>2</v>
      </c>
      <c r="I56" s="32">
        <v>8.4320000000000004</v>
      </c>
    </row>
    <row r="57" spans="1:9">
      <c r="A57" s="19" t="str">
        <f t="shared" si="0"/>
        <v>HUILAGARZÓN</v>
      </c>
      <c r="B57" s="14" t="s">
        <v>306</v>
      </c>
      <c r="C57" s="14" t="s">
        <v>329</v>
      </c>
      <c r="D57" s="14">
        <v>2</v>
      </c>
      <c r="E57" s="15">
        <v>63.93</v>
      </c>
      <c r="F57" s="14">
        <v>2</v>
      </c>
      <c r="G57" s="15">
        <v>57.783000000000001</v>
      </c>
      <c r="H57" s="14">
        <v>2</v>
      </c>
      <c r="I57" s="32">
        <v>12.994999999999999</v>
      </c>
    </row>
    <row r="58" spans="1:9">
      <c r="A58" s="19" t="str">
        <f t="shared" si="0"/>
        <v>HUILALA PLATA</v>
      </c>
      <c r="B58" s="14" t="s">
        <v>306</v>
      </c>
      <c r="C58" s="14" t="s">
        <v>317</v>
      </c>
      <c r="D58" s="14"/>
      <c r="E58" s="15"/>
      <c r="F58" s="14">
        <v>1</v>
      </c>
      <c r="G58" s="15">
        <v>29.838999999999999</v>
      </c>
      <c r="H58" s="14">
        <v>1</v>
      </c>
      <c r="I58" s="32">
        <v>4.8010000000000002</v>
      </c>
    </row>
    <row r="59" spans="1:9">
      <c r="A59" s="19" t="str">
        <f t="shared" si="0"/>
        <v>HUILANEIVA</v>
      </c>
      <c r="B59" s="14" t="s">
        <v>306</v>
      </c>
      <c r="C59" s="14" t="s">
        <v>312</v>
      </c>
      <c r="D59" s="14">
        <v>25</v>
      </c>
      <c r="E59" s="15">
        <v>652.51700000000005</v>
      </c>
      <c r="F59" s="14">
        <v>29</v>
      </c>
      <c r="G59" s="15">
        <v>640.08900000000006</v>
      </c>
      <c r="H59" s="14">
        <v>29</v>
      </c>
      <c r="I59" s="32">
        <v>192.35</v>
      </c>
    </row>
    <row r="60" spans="1:9">
      <c r="A60" s="19" t="str">
        <f t="shared" si="0"/>
        <v>HUILAPITALITO</v>
      </c>
      <c r="B60" s="14" t="s">
        <v>306</v>
      </c>
      <c r="C60" s="14" t="s">
        <v>307</v>
      </c>
      <c r="D60" s="14">
        <v>7</v>
      </c>
      <c r="E60" s="15">
        <v>195.22399999999999</v>
      </c>
      <c r="F60" s="14">
        <v>7</v>
      </c>
      <c r="G60" s="15">
        <v>200.83099999999999</v>
      </c>
      <c r="H60" s="14">
        <v>7</v>
      </c>
      <c r="I60" s="32">
        <v>54.311999999999998</v>
      </c>
    </row>
    <row r="61" spans="1:9">
      <c r="A61" s="19" t="str">
        <f t="shared" si="0"/>
        <v>LA GUAJIRARIOHACHA</v>
      </c>
      <c r="B61" s="14" t="s">
        <v>300</v>
      </c>
      <c r="C61" s="14" t="s">
        <v>301</v>
      </c>
      <c r="D61" s="14">
        <v>10</v>
      </c>
      <c r="E61" s="15">
        <v>159.042</v>
      </c>
      <c r="F61" s="14">
        <v>6</v>
      </c>
      <c r="G61" s="15">
        <v>155.44900000000001</v>
      </c>
      <c r="H61" s="14">
        <v>6</v>
      </c>
      <c r="I61" s="32">
        <v>38.171999999999997</v>
      </c>
    </row>
    <row r="62" spans="1:9">
      <c r="A62" s="19" t="str">
        <f t="shared" si="0"/>
        <v>MAGDALENAEL BANCO</v>
      </c>
      <c r="B62" s="14" t="s">
        <v>281</v>
      </c>
      <c r="C62" s="14" t="s">
        <v>282</v>
      </c>
      <c r="D62" s="14">
        <v>2</v>
      </c>
      <c r="E62" s="15">
        <v>16.491</v>
      </c>
      <c r="F62" s="14">
        <v>2</v>
      </c>
      <c r="G62" s="15">
        <v>13.002000000000001</v>
      </c>
      <c r="H62" s="14">
        <v>2</v>
      </c>
      <c r="I62" s="32">
        <v>3.1139999999999999</v>
      </c>
    </row>
    <row r="63" spans="1:9">
      <c r="A63" s="19" t="str">
        <f t="shared" si="0"/>
        <v>MAGDALENAFUNDACIÓN</v>
      </c>
      <c r="B63" s="14" t="s">
        <v>281</v>
      </c>
      <c r="C63" s="14" t="s">
        <v>290</v>
      </c>
      <c r="D63" s="14">
        <v>2</v>
      </c>
      <c r="E63" s="15">
        <v>3.92</v>
      </c>
      <c r="F63" s="14">
        <v>2</v>
      </c>
      <c r="G63" s="15">
        <v>17.225000000000001</v>
      </c>
      <c r="H63" s="14">
        <v>2</v>
      </c>
      <c r="I63" s="32">
        <v>4.2569999999999997</v>
      </c>
    </row>
    <row r="64" spans="1:9">
      <c r="A64" s="19" t="str">
        <f t="shared" si="0"/>
        <v>MAGDALENASANTA MARTA</v>
      </c>
      <c r="B64" s="14" t="s">
        <v>281</v>
      </c>
      <c r="C64" s="14" t="s">
        <v>285</v>
      </c>
      <c r="D64" s="14">
        <v>15</v>
      </c>
      <c r="E64" s="15">
        <v>539.32100000000003</v>
      </c>
      <c r="F64" s="14">
        <v>13</v>
      </c>
      <c r="G64" s="15">
        <v>517.25</v>
      </c>
      <c r="H64" s="14">
        <v>12</v>
      </c>
      <c r="I64" s="32">
        <v>146.09299999999999</v>
      </c>
    </row>
    <row r="65" spans="1:9">
      <c r="A65" s="19" t="str">
        <f t="shared" si="0"/>
        <v>METAACACÍAS</v>
      </c>
      <c r="B65" s="14" t="s">
        <v>250</v>
      </c>
      <c r="C65" s="14" t="s">
        <v>273</v>
      </c>
      <c r="D65" s="14">
        <v>1</v>
      </c>
      <c r="E65" s="15">
        <v>49.814</v>
      </c>
      <c r="F65" s="14">
        <v>4</v>
      </c>
      <c r="G65" s="15">
        <v>52.412999999999997</v>
      </c>
      <c r="H65" s="14">
        <v>2</v>
      </c>
      <c r="I65" s="32">
        <v>16.111999999999998</v>
      </c>
    </row>
    <row r="66" spans="1:9">
      <c r="A66" s="19" t="str">
        <f t="shared" si="0"/>
        <v>METAGRANADA</v>
      </c>
      <c r="B66" s="14" t="s">
        <v>250</v>
      </c>
      <c r="C66" s="14" t="s">
        <v>276</v>
      </c>
      <c r="D66" s="14">
        <v>1</v>
      </c>
      <c r="E66" s="15">
        <v>38.482999999999997</v>
      </c>
      <c r="F66" s="14">
        <v>2</v>
      </c>
      <c r="G66" s="15">
        <v>35.201999999999998</v>
      </c>
      <c r="H66" s="14">
        <v>2</v>
      </c>
      <c r="I66" s="32">
        <v>12.842000000000001</v>
      </c>
    </row>
    <row r="67" spans="1:9">
      <c r="A67" s="19" t="str">
        <f t="shared" si="0"/>
        <v>METAPUERTO GAITÁN</v>
      </c>
      <c r="B67" s="14" t="s">
        <v>250</v>
      </c>
      <c r="C67" s="14" t="s">
        <v>269</v>
      </c>
      <c r="D67" s="14"/>
      <c r="E67" s="15"/>
      <c r="F67" s="14"/>
      <c r="G67" s="15"/>
      <c r="H67" s="14">
        <v>2</v>
      </c>
      <c r="I67" s="32">
        <v>13.849</v>
      </c>
    </row>
    <row r="68" spans="1:9">
      <c r="A68" s="19" t="str">
        <f t="shared" si="0"/>
        <v>METARESTREPO</v>
      </c>
      <c r="B68" s="14" t="s">
        <v>250</v>
      </c>
      <c r="C68" s="14" t="s">
        <v>258</v>
      </c>
      <c r="D68" s="14">
        <v>3</v>
      </c>
      <c r="E68" s="15">
        <v>39.579000000000001</v>
      </c>
      <c r="F68" s="14">
        <v>3</v>
      </c>
      <c r="G68" s="15">
        <v>39.125999999999998</v>
      </c>
      <c r="H68" s="14">
        <v>3</v>
      </c>
      <c r="I68" s="32">
        <v>8.843</v>
      </c>
    </row>
    <row r="69" spans="1:9">
      <c r="A69" s="19" t="str">
        <f t="shared" si="0"/>
        <v>METAVILLAVICENCIO</v>
      </c>
      <c r="B69" s="14" t="s">
        <v>250</v>
      </c>
      <c r="C69" s="14" t="s">
        <v>251</v>
      </c>
      <c r="D69" s="14">
        <v>28</v>
      </c>
      <c r="E69" s="15">
        <v>1341.0920000000001</v>
      </c>
      <c r="F69" s="14">
        <v>28</v>
      </c>
      <c r="G69" s="15">
        <v>1287.58</v>
      </c>
      <c r="H69" s="14">
        <v>27</v>
      </c>
      <c r="I69" s="32">
        <v>362.86599999999999</v>
      </c>
    </row>
    <row r="70" spans="1:9">
      <c r="A70" s="19" t="str">
        <f t="shared" ref="A70:A106" si="1">+B70&amp;C70</f>
        <v>NARIÑOIPIALES</v>
      </c>
      <c r="B70" s="14" t="s">
        <v>232</v>
      </c>
      <c r="C70" s="14" t="s">
        <v>241</v>
      </c>
      <c r="D70" s="14">
        <v>4</v>
      </c>
      <c r="E70" s="15">
        <v>190.404</v>
      </c>
      <c r="F70" s="14">
        <v>4</v>
      </c>
      <c r="G70" s="15">
        <v>182.666</v>
      </c>
      <c r="H70" s="14">
        <v>4</v>
      </c>
      <c r="I70" s="32">
        <v>46.384999999999998</v>
      </c>
    </row>
    <row r="71" spans="1:9">
      <c r="A71" s="19" t="str">
        <f t="shared" si="1"/>
        <v>NARIÑOPASTO</v>
      </c>
      <c r="B71" s="14" t="s">
        <v>232</v>
      </c>
      <c r="C71" s="14" t="s">
        <v>233</v>
      </c>
      <c r="D71" s="14">
        <v>13</v>
      </c>
      <c r="E71" s="15">
        <v>615.08900000000006</v>
      </c>
      <c r="F71" s="14">
        <v>13</v>
      </c>
      <c r="G71" s="15">
        <v>590.94899999999996</v>
      </c>
      <c r="H71" s="14">
        <v>13</v>
      </c>
      <c r="I71" s="32">
        <v>162.434</v>
      </c>
    </row>
    <row r="72" spans="1:9">
      <c r="A72" s="19" t="str">
        <f t="shared" si="1"/>
        <v>NARIÑOTUMACO</v>
      </c>
      <c r="B72" s="14" t="s">
        <v>232</v>
      </c>
      <c r="C72" s="14" t="s">
        <v>238</v>
      </c>
      <c r="D72" s="14">
        <v>1</v>
      </c>
      <c r="E72" s="15">
        <v>3.3959999999999999</v>
      </c>
      <c r="F72" s="14">
        <v>1</v>
      </c>
      <c r="G72" s="15">
        <v>0.39</v>
      </c>
      <c r="H72" s="14">
        <v>1</v>
      </c>
      <c r="I72" s="32">
        <v>0.505</v>
      </c>
    </row>
    <row r="73" spans="1:9">
      <c r="A73" s="19" t="str">
        <f t="shared" si="1"/>
        <v>NORTE DE SANTANDERCÚCUTA</v>
      </c>
      <c r="B73" s="14" t="s">
        <v>216</v>
      </c>
      <c r="C73" s="14" t="s">
        <v>225</v>
      </c>
      <c r="D73" s="14">
        <v>17</v>
      </c>
      <c r="E73" s="15">
        <v>1041.5820000000001</v>
      </c>
      <c r="F73" s="14">
        <v>17</v>
      </c>
      <c r="G73" s="15">
        <v>1022.447</v>
      </c>
      <c r="H73" s="14">
        <v>17</v>
      </c>
      <c r="I73" s="32">
        <v>285.90199999999999</v>
      </c>
    </row>
    <row r="74" spans="1:9">
      <c r="A74" s="19" t="str">
        <f t="shared" si="1"/>
        <v>NORTE DE SANTANDEROCAÑA</v>
      </c>
      <c r="B74" s="14" t="s">
        <v>216</v>
      </c>
      <c r="C74" s="14" t="s">
        <v>217</v>
      </c>
      <c r="D74" s="14">
        <v>1</v>
      </c>
      <c r="E74" s="15">
        <v>60.598999999999997</v>
      </c>
      <c r="F74" s="14">
        <v>1</v>
      </c>
      <c r="G74" s="15">
        <v>61.11</v>
      </c>
      <c r="H74" s="14">
        <v>1</v>
      </c>
      <c r="I74" s="32">
        <v>15.8</v>
      </c>
    </row>
    <row r="75" spans="1:9">
      <c r="A75" s="19" t="str">
        <f t="shared" si="1"/>
        <v>NORTE DE SANTANDERPAMPLONA</v>
      </c>
      <c r="B75" s="14" t="s">
        <v>216</v>
      </c>
      <c r="C75" s="14" t="s">
        <v>222</v>
      </c>
      <c r="D75" s="14">
        <v>4</v>
      </c>
      <c r="E75" s="15">
        <v>76.491</v>
      </c>
      <c r="F75" s="14">
        <v>4</v>
      </c>
      <c r="G75" s="15">
        <v>77.406000000000006</v>
      </c>
      <c r="H75" s="14">
        <v>4</v>
      </c>
      <c r="I75" s="32">
        <v>19.280999999999999</v>
      </c>
    </row>
    <row r="76" spans="1:9">
      <c r="A76" s="19" t="str">
        <f t="shared" si="1"/>
        <v>PUTUMAYOMOCOA</v>
      </c>
      <c r="B76" s="14" t="s">
        <v>208</v>
      </c>
      <c r="C76" s="14" t="s">
        <v>212</v>
      </c>
      <c r="D76" s="14">
        <v>2</v>
      </c>
      <c r="E76" s="15">
        <v>42.031999999999996</v>
      </c>
      <c r="F76" s="14">
        <v>2</v>
      </c>
      <c r="G76" s="15">
        <v>33.953000000000003</v>
      </c>
      <c r="H76" s="14">
        <v>2</v>
      </c>
      <c r="I76" s="32">
        <v>8.5990000000000002</v>
      </c>
    </row>
    <row r="77" spans="1:9">
      <c r="A77" s="19" t="str">
        <f t="shared" si="1"/>
        <v>PUTUMAYOPUERTO ASÍS</v>
      </c>
      <c r="B77" s="14" t="s">
        <v>208</v>
      </c>
      <c r="C77" s="14" t="s">
        <v>209</v>
      </c>
      <c r="D77" s="14">
        <v>2</v>
      </c>
      <c r="E77" s="15">
        <v>35.188000000000002</v>
      </c>
      <c r="F77" s="14">
        <v>2</v>
      </c>
      <c r="G77" s="15">
        <v>27.77</v>
      </c>
      <c r="H77" s="14">
        <v>2</v>
      </c>
      <c r="I77" s="32">
        <v>6.7649999999999997</v>
      </c>
    </row>
    <row r="78" spans="1:9">
      <c r="A78" s="19" t="str">
        <f t="shared" si="1"/>
        <v>QUINDIOARMENIA</v>
      </c>
      <c r="B78" s="14" t="s">
        <v>192</v>
      </c>
      <c r="C78" s="14" t="s">
        <v>193</v>
      </c>
      <c r="D78" s="14">
        <v>22</v>
      </c>
      <c r="E78" s="15">
        <v>682.17200000000003</v>
      </c>
      <c r="F78" s="14">
        <v>22</v>
      </c>
      <c r="G78" s="15">
        <v>679.16499999999996</v>
      </c>
      <c r="H78" s="14">
        <v>22</v>
      </c>
      <c r="I78" s="32">
        <v>191.21</v>
      </c>
    </row>
    <row r="79" spans="1:9">
      <c r="A79" s="19" t="str">
        <f t="shared" si="1"/>
        <v>QUINDIOSALENTO</v>
      </c>
      <c r="B79" s="14" t="s">
        <v>192</v>
      </c>
      <c r="C79" s="14" t="s">
        <v>198</v>
      </c>
      <c r="D79" s="14"/>
      <c r="E79" s="15"/>
      <c r="F79" s="14">
        <v>1</v>
      </c>
      <c r="G79" s="15">
        <v>1.573</v>
      </c>
      <c r="H79" s="14">
        <v>1</v>
      </c>
      <c r="I79" s="32">
        <v>0.36499999999999999</v>
      </c>
    </row>
    <row r="80" spans="1:9">
      <c r="A80" s="19" t="str">
        <f t="shared" si="1"/>
        <v>RISARALDADOSQUEBRADAS</v>
      </c>
      <c r="B80" s="14" t="s">
        <v>803</v>
      </c>
      <c r="C80" s="14" t="s">
        <v>183</v>
      </c>
      <c r="D80" s="14">
        <v>5</v>
      </c>
      <c r="E80" s="15">
        <v>155.77199999999999</v>
      </c>
      <c r="F80" s="14">
        <v>5</v>
      </c>
      <c r="G80" s="15">
        <v>150.773</v>
      </c>
      <c r="H80" s="14">
        <v>5</v>
      </c>
      <c r="I80" s="32">
        <v>39.896000000000001</v>
      </c>
    </row>
    <row r="81" spans="1:9">
      <c r="A81" s="19" t="str">
        <f t="shared" si="1"/>
        <v>RISARALDAPEREIRA</v>
      </c>
      <c r="B81" s="14" t="s">
        <v>803</v>
      </c>
      <c r="C81" s="14" t="s">
        <v>178</v>
      </c>
      <c r="D81" s="14">
        <v>21</v>
      </c>
      <c r="E81" s="15">
        <v>1009.987</v>
      </c>
      <c r="F81" s="14">
        <v>21</v>
      </c>
      <c r="G81" s="15">
        <v>1009.268</v>
      </c>
      <c r="H81" s="14">
        <v>21</v>
      </c>
      <c r="I81" s="32">
        <v>306.88900000000001</v>
      </c>
    </row>
    <row r="82" spans="1:9">
      <c r="A82" s="19" t="s">
        <v>804</v>
      </c>
      <c r="B82" s="14" t="s">
        <v>170</v>
      </c>
      <c r="C82" s="14" t="s">
        <v>805</v>
      </c>
      <c r="D82" s="14">
        <v>1</v>
      </c>
      <c r="E82" s="15">
        <v>1.242</v>
      </c>
      <c r="F82" s="14"/>
      <c r="G82" s="15"/>
      <c r="H82" s="14"/>
      <c r="I82" s="32"/>
    </row>
    <row r="83" spans="1:9">
      <c r="A83" s="19" t="str">
        <f t="shared" si="1"/>
        <v>SAN ANDRÉSSAN ANDRÉS</v>
      </c>
      <c r="B83" s="14" t="s">
        <v>170</v>
      </c>
      <c r="C83" s="14" t="s">
        <v>170</v>
      </c>
      <c r="D83" s="14">
        <v>3</v>
      </c>
      <c r="E83" s="15">
        <v>37.664000000000001</v>
      </c>
      <c r="F83" s="14">
        <v>3</v>
      </c>
      <c r="G83" s="15">
        <v>36.604999999999997</v>
      </c>
      <c r="H83" s="14">
        <v>3</v>
      </c>
      <c r="I83" s="32">
        <v>12.657999999999999</v>
      </c>
    </row>
    <row r="84" spans="1:9">
      <c r="A84" s="19" t="str">
        <f t="shared" si="1"/>
        <v>SANTANDERBARRANCABERMEJA</v>
      </c>
      <c r="B84" s="14" t="s">
        <v>135</v>
      </c>
      <c r="C84" s="14" t="s">
        <v>151</v>
      </c>
      <c r="D84" s="14">
        <v>10</v>
      </c>
      <c r="E84" s="15">
        <v>330.38099999999997</v>
      </c>
      <c r="F84" s="14">
        <v>9</v>
      </c>
      <c r="G84" s="15">
        <v>299.036</v>
      </c>
      <c r="H84" s="14">
        <v>9</v>
      </c>
      <c r="I84" s="32">
        <v>87.427000000000007</v>
      </c>
    </row>
    <row r="85" spans="1:9">
      <c r="A85" s="19" t="str">
        <f t="shared" si="1"/>
        <v>SANTANDERBUCARAMANGA</v>
      </c>
      <c r="B85" s="14" t="s">
        <v>135</v>
      </c>
      <c r="C85" s="14" t="s">
        <v>139</v>
      </c>
      <c r="D85" s="14">
        <v>23</v>
      </c>
      <c r="E85" s="15">
        <v>1319.242</v>
      </c>
      <c r="F85" s="14">
        <v>23</v>
      </c>
      <c r="G85" s="15">
        <v>1340.9580000000001</v>
      </c>
      <c r="H85" s="14">
        <v>23</v>
      </c>
      <c r="I85" s="32">
        <v>384.69900000000001</v>
      </c>
    </row>
    <row r="86" spans="1:9">
      <c r="A86" s="19" t="str">
        <f t="shared" si="1"/>
        <v>SANTANDERFLORIDABLANCA</v>
      </c>
      <c r="B86" s="14" t="s">
        <v>135</v>
      </c>
      <c r="C86" s="14" t="s">
        <v>136</v>
      </c>
      <c r="D86" s="14">
        <v>9</v>
      </c>
      <c r="E86" s="15">
        <v>575.32000000000005</v>
      </c>
      <c r="F86" s="14">
        <v>9</v>
      </c>
      <c r="G86" s="15">
        <v>563.51300000000003</v>
      </c>
      <c r="H86" s="14">
        <v>9</v>
      </c>
      <c r="I86" s="32">
        <v>157.88499999999999</v>
      </c>
    </row>
    <row r="87" spans="1:9">
      <c r="A87" s="19" t="str">
        <f t="shared" si="1"/>
        <v>SANTANDERPIEDECUESTA</v>
      </c>
      <c r="B87" s="14" t="s">
        <v>135</v>
      </c>
      <c r="C87" s="14" t="s">
        <v>144</v>
      </c>
      <c r="D87" s="14">
        <v>6</v>
      </c>
      <c r="E87" s="15">
        <v>316.64</v>
      </c>
      <c r="F87" s="14">
        <v>6</v>
      </c>
      <c r="G87" s="15">
        <v>332.76499999999999</v>
      </c>
      <c r="H87" s="14">
        <v>6</v>
      </c>
      <c r="I87" s="32">
        <v>90.831000000000003</v>
      </c>
    </row>
    <row r="88" spans="1:9">
      <c r="A88" s="19" t="str">
        <f t="shared" si="1"/>
        <v>SANTANDERSAN GIL</v>
      </c>
      <c r="B88" s="14" t="s">
        <v>135</v>
      </c>
      <c r="C88" s="14" t="s">
        <v>156</v>
      </c>
      <c r="D88" s="14">
        <v>6</v>
      </c>
      <c r="E88" s="15">
        <v>86.450999999999993</v>
      </c>
      <c r="F88" s="14">
        <v>6</v>
      </c>
      <c r="G88" s="15">
        <v>98.447000000000003</v>
      </c>
      <c r="H88" s="14">
        <v>6</v>
      </c>
      <c r="I88" s="32">
        <v>20.605</v>
      </c>
    </row>
    <row r="89" spans="1:9">
      <c r="A89" s="19" t="str">
        <f t="shared" si="1"/>
        <v>SUCRESINCELEJO</v>
      </c>
      <c r="B89" s="14" t="s">
        <v>127</v>
      </c>
      <c r="C89" s="14" t="s">
        <v>128</v>
      </c>
      <c r="D89" s="14">
        <v>9</v>
      </c>
      <c r="E89" s="15">
        <v>309.49299999999999</v>
      </c>
      <c r="F89" s="14">
        <v>10</v>
      </c>
      <c r="G89" s="15">
        <v>326.262</v>
      </c>
      <c r="H89" s="14">
        <v>10</v>
      </c>
      <c r="I89" s="32">
        <v>87.918999999999997</v>
      </c>
    </row>
    <row r="90" spans="1:9">
      <c r="A90" s="19" t="str">
        <f t="shared" si="1"/>
        <v>TOLIMACHAPARRAL</v>
      </c>
      <c r="B90" s="14" t="s">
        <v>95</v>
      </c>
      <c r="C90" s="14" t="s">
        <v>114</v>
      </c>
      <c r="D90" s="14">
        <v>1</v>
      </c>
      <c r="E90" s="15">
        <v>17.693000000000001</v>
      </c>
      <c r="F90" s="14">
        <v>1</v>
      </c>
      <c r="G90" s="15">
        <v>15.013</v>
      </c>
      <c r="H90" s="14">
        <v>1</v>
      </c>
      <c r="I90" s="32">
        <v>3.64</v>
      </c>
    </row>
    <row r="91" spans="1:9">
      <c r="A91" s="19" t="str">
        <f t="shared" si="1"/>
        <v>TOLIMAESPINAL</v>
      </c>
      <c r="B91" s="14" t="s">
        <v>95</v>
      </c>
      <c r="C91" s="14" t="s">
        <v>103</v>
      </c>
      <c r="D91" s="14">
        <v>4</v>
      </c>
      <c r="E91" s="15">
        <v>92.27</v>
      </c>
      <c r="F91" s="14">
        <v>4</v>
      </c>
      <c r="G91" s="15">
        <v>83.275999999999996</v>
      </c>
      <c r="H91" s="14">
        <v>4</v>
      </c>
      <c r="I91" s="32">
        <v>20.88</v>
      </c>
    </row>
    <row r="92" spans="1:9">
      <c r="A92" s="19" t="str">
        <f t="shared" si="1"/>
        <v>TOLIMAIBAGUÉ</v>
      </c>
      <c r="B92" s="14" t="s">
        <v>95</v>
      </c>
      <c r="C92" s="14" t="s">
        <v>99</v>
      </c>
      <c r="D92" s="14">
        <v>17</v>
      </c>
      <c r="E92" s="15">
        <v>985.89300000000003</v>
      </c>
      <c r="F92" s="14">
        <v>16</v>
      </c>
      <c r="G92" s="15">
        <v>988.53800000000001</v>
      </c>
      <c r="H92" s="14">
        <v>16</v>
      </c>
      <c r="I92" s="32">
        <v>283.82600000000002</v>
      </c>
    </row>
    <row r="93" spans="1:9">
      <c r="A93" s="19" t="str">
        <f t="shared" si="1"/>
        <v>TOLIMALÍBANO</v>
      </c>
      <c r="B93" s="14" t="s">
        <v>95</v>
      </c>
      <c r="C93" s="14" t="s">
        <v>118</v>
      </c>
      <c r="D93" s="14">
        <v>1</v>
      </c>
      <c r="E93" s="15">
        <v>17.742999999999999</v>
      </c>
      <c r="F93" s="14">
        <v>1</v>
      </c>
      <c r="G93" s="15">
        <v>14.305999999999999</v>
      </c>
      <c r="H93" s="14">
        <v>1</v>
      </c>
      <c r="I93" s="32">
        <v>3.3210000000000002</v>
      </c>
    </row>
    <row r="94" spans="1:9">
      <c r="A94" s="19" t="str">
        <f t="shared" si="1"/>
        <v>TOLIMAMELGAR</v>
      </c>
      <c r="B94" s="14" t="s">
        <v>95</v>
      </c>
      <c r="C94" s="14" t="s">
        <v>122</v>
      </c>
      <c r="D94" s="14">
        <v>3</v>
      </c>
      <c r="E94" s="15">
        <v>45.073999999999998</v>
      </c>
      <c r="F94" s="14">
        <v>3</v>
      </c>
      <c r="G94" s="15">
        <v>38.927999999999997</v>
      </c>
      <c r="H94" s="14">
        <v>3</v>
      </c>
      <c r="I94" s="32">
        <v>9.6210000000000004</v>
      </c>
    </row>
    <row r="95" spans="1:9">
      <c r="A95" s="19" t="str">
        <f t="shared" si="1"/>
        <v>TOLIMASAN SEBASTIÁN DE MARIQUITA</v>
      </c>
      <c r="B95" s="14" t="s">
        <v>95</v>
      </c>
      <c r="C95" s="14" t="s">
        <v>96</v>
      </c>
      <c r="D95" s="14">
        <v>2</v>
      </c>
      <c r="E95" s="15">
        <v>27.047000000000001</v>
      </c>
      <c r="F95" s="14">
        <v>2</v>
      </c>
      <c r="G95" s="15">
        <v>28.98</v>
      </c>
      <c r="H95" s="14">
        <v>2</v>
      </c>
      <c r="I95" s="32">
        <v>7.2869999999999999</v>
      </c>
    </row>
    <row r="96" spans="1:9">
      <c r="A96" s="19" t="str">
        <f t="shared" si="1"/>
        <v>VALLE DEL CAUCABUENAVENTURA</v>
      </c>
      <c r="B96" s="14" t="s">
        <v>13</v>
      </c>
      <c r="C96" s="14" t="s">
        <v>52</v>
      </c>
      <c r="D96" s="14">
        <v>4</v>
      </c>
      <c r="E96" s="15">
        <v>120.54600000000001</v>
      </c>
      <c r="F96" s="14">
        <v>4</v>
      </c>
      <c r="G96" s="15">
        <v>102.25</v>
      </c>
      <c r="H96" s="14">
        <v>4</v>
      </c>
      <c r="I96" s="32">
        <v>26.725000000000001</v>
      </c>
    </row>
    <row r="97" spans="1:9">
      <c r="A97" s="19" t="str">
        <f t="shared" si="1"/>
        <v>VALLE DEL CAUCACALI</v>
      </c>
      <c r="B97" s="14" t="s">
        <v>13</v>
      </c>
      <c r="C97" s="14" t="s">
        <v>14</v>
      </c>
      <c r="D97" s="14">
        <v>102</v>
      </c>
      <c r="E97" s="15">
        <v>4099.6369999999997</v>
      </c>
      <c r="F97" s="14">
        <v>102</v>
      </c>
      <c r="G97" s="15">
        <v>4106.5630000000001</v>
      </c>
      <c r="H97" s="14">
        <v>101</v>
      </c>
      <c r="I97" s="32">
        <v>1262.3389999999999</v>
      </c>
    </row>
    <row r="98" spans="1:9">
      <c r="A98" s="19" t="str">
        <f t="shared" si="1"/>
        <v>VALLE DEL CAUCACANDELARIA</v>
      </c>
      <c r="B98" s="14" t="s">
        <v>13</v>
      </c>
      <c r="C98" s="14" t="s">
        <v>86</v>
      </c>
      <c r="D98" s="14"/>
      <c r="E98" s="15"/>
      <c r="F98" s="14">
        <v>3</v>
      </c>
      <c r="G98" s="15">
        <v>11.394</v>
      </c>
      <c r="H98" s="14">
        <v>4</v>
      </c>
      <c r="I98" s="32">
        <v>20.530999999999999</v>
      </c>
    </row>
    <row r="99" spans="1:9">
      <c r="A99" s="19" t="str">
        <f t="shared" si="1"/>
        <v>VALLE DEL CAUCACARTAGO</v>
      </c>
      <c r="B99" s="14" t="s">
        <v>13</v>
      </c>
      <c r="C99" s="14" t="s">
        <v>37</v>
      </c>
      <c r="D99" s="14">
        <v>10</v>
      </c>
      <c r="E99" s="15">
        <v>191.51400000000001</v>
      </c>
      <c r="F99" s="14">
        <v>10</v>
      </c>
      <c r="G99" s="15">
        <v>193.54300000000001</v>
      </c>
      <c r="H99" s="14">
        <v>10</v>
      </c>
      <c r="I99" s="32">
        <v>56.527000000000001</v>
      </c>
    </row>
    <row r="100" spans="1:9">
      <c r="A100" s="19" t="str">
        <f t="shared" si="1"/>
        <v>VALLE DEL CAUCAGUADALAJARA DE BUGA</v>
      </c>
      <c r="B100" s="14" t="s">
        <v>13</v>
      </c>
      <c r="C100" s="14" t="s">
        <v>49</v>
      </c>
      <c r="D100" s="14">
        <v>5</v>
      </c>
      <c r="E100" s="15">
        <v>136.845</v>
      </c>
      <c r="F100" s="14">
        <v>4</v>
      </c>
      <c r="G100" s="15">
        <v>133.077</v>
      </c>
      <c r="H100" s="14">
        <v>4</v>
      </c>
      <c r="I100" s="32">
        <v>38.597999999999999</v>
      </c>
    </row>
    <row r="101" spans="1:9">
      <c r="A101" s="19" t="str">
        <f t="shared" si="1"/>
        <v>VALLE DEL CAUCALA UNIÓN</v>
      </c>
      <c r="B101" s="14" t="s">
        <v>13</v>
      </c>
      <c r="C101" s="14" t="s">
        <v>90</v>
      </c>
      <c r="D101" s="14">
        <v>2</v>
      </c>
      <c r="E101" s="15">
        <v>25.492999999999999</v>
      </c>
      <c r="F101" s="14">
        <v>2</v>
      </c>
      <c r="G101" s="15">
        <v>20.276</v>
      </c>
      <c r="H101" s="14">
        <v>2</v>
      </c>
      <c r="I101" s="32">
        <v>5.7930000000000001</v>
      </c>
    </row>
    <row r="102" spans="1:9">
      <c r="A102" s="19" t="str">
        <f t="shared" si="1"/>
        <v>VALLE DEL CAUCAPALMIRA</v>
      </c>
      <c r="B102" s="14" t="s">
        <v>13</v>
      </c>
      <c r="C102" s="14" t="s">
        <v>63</v>
      </c>
      <c r="D102" s="14">
        <v>8</v>
      </c>
      <c r="E102" s="15">
        <v>448.20800000000003</v>
      </c>
      <c r="F102" s="14">
        <v>8</v>
      </c>
      <c r="G102" s="15">
        <v>440.32799999999997</v>
      </c>
      <c r="H102" s="14">
        <v>8</v>
      </c>
      <c r="I102" s="32">
        <v>130.46</v>
      </c>
    </row>
    <row r="103" spans="1:9">
      <c r="A103" s="19" t="str">
        <f t="shared" si="1"/>
        <v>VALLE DEL CAUCATULUÁ</v>
      </c>
      <c r="B103" s="14" t="s">
        <v>13</v>
      </c>
      <c r="C103" s="14" t="s">
        <v>34</v>
      </c>
      <c r="D103" s="14">
        <v>9</v>
      </c>
      <c r="E103" s="15">
        <v>221.49</v>
      </c>
      <c r="F103" s="14">
        <v>9</v>
      </c>
      <c r="G103" s="15">
        <v>210.755</v>
      </c>
      <c r="H103" s="14">
        <v>9</v>
      </c>
      <c r="I103" s="32">
        <v>57.072000000000003</v>
      </c>
    </row>
    <row r="104" spans="1:9" ht="18.600000000000001" customHeight="1">
      <c r="A104" s="19" t="str">
        <f t="shared" si="1"/>
        <v>VALLE DEL CAUCAYUMBO</v>
      </c>
      <c r="B104" s="14" t="s">
        <v>13</v>
      </c>
      <c r="C104" s="14" t="s">
        <v>40</v>
      </c>
      <c r="D104" s="14">
        <v>4</v>
      </c>
      <c r="E104" s="15">
        <v>94.128</v>
      </c>
      <c r="F104" s="14">
        <v>4</v>
      </c>
      <c r="G104" s="15">
        <v>87.15</v>
      </c>
      <c r="H104" s="14">
        <v>4</v>
      </c>
      <c r="I104" s="32">
        <v>23.824999999999999</v>
      </c>
    </row>
    <row r="105" spans="1:9">
      <c r="A105" s="19" t="str">
        <f t="shared" si="1"/>
        <v>VALLE DEL CAUCAZARZAL</v>
      </c>
      <c r="B105" s="14" t="s">
        <v>13</v>
      </c>
      <c r="C105" s="14" t="s">
        <v>81</v>
      </c>
      <c r="D105" s="14">
        <v>3</v>
      </c>
      <c r="E105" s="15">
        <v>44.631999999999998</v>
      </c>
      <c r="F105" s="14">
        <v>3</v>
      </c>
      <c r="G105" s="15">
        <v>45.061999999999998</v>
      </c>
      <c r="H105" s="14">
        <v>3</v>
      </c>
      <c r="I105" s="32">
        <v>12.385</v>
      </c>
    </row>
    <row r="106" spans="1:9">
      <c r="A106" s="19" t="str">
        <f t="shared" si="1"/>
        <v>Total general</v>
      </c>
      <c r="B106" s="20" t="s">
        <v>806</v>
      </c>
      <c r="C106" s="21"/>
      <c r="D106" s="20">
        <v>1261</v>
      </c>
      <c r="E106" s="22">
        <v>49823.145999999993</v>
      </c>
      <c r="F106" s="20">
        <v>1260</v>
      </c>
      <c r="G106" s="22">
        <v>49783.674999999988</v>
      </c>
      <c r="H106" s="20">
        <v>1247</v>
      </c>
      <c r="I106" s="22">
        <v>14386.599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 Andrea Laverde Velandia</dc:creator>
  <cp:keywords/>
  <dc:description/>
  <cp:lastModifiedBy>Sebastian Mateus Villegas</cp:lastModifiedBy>
  <cp:revision/>
  <dcterms:created xsi:type="dcterms:W3CDTF">2025-02-04T02:30:14Z</dcterms:created>
  <dcterms:modified xsi:type="dcterms:W3CDTF">2026-07-07T21:37:41Z</dcterms:modified>
  <cp:category/>
  <cp:contentStatus/>
</cp:coreProperties>
</file>